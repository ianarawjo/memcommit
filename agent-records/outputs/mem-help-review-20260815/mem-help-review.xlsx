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b8d0f4a33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ct Review" sheetId="1" r:id="R51f5f7f97e8d4bc2"/>
    <x:sheet xmlns:r="http://schemas.openxmlformats.org/officeDocument/2006/relationships" name="Contract Review" sheetId="2" r:id="Rb76cfb696a2b4d4e"/>
    <x:sheet xmlns:r="http://schemas.openxmlformats.org/officeDocument/2006/relationships" name="Catalog Snapshot" sheetId="3" r:id="R723f8fe804d941ac"/>
    <x:sheet xmlns:r="http://schemas.openxmlformats.org/officeDocument/2006/relationships" name="Legend" sheetId="4" r:id="Rb8087e74fa9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sz val="10"/>
      <x:color rgb="FF25313F"/>
      <x:name val="Aptos"/>
    </x:font>
    <x:font>
      <x:i/>
      <x:sz val="9"/>
      <x:color rgb="FF667085"/>
      <x:name val="Aptos"/>
    </x:font>
    <x:font>
      <x:b/>
      <x:sz val="10"/>
      <x:color rgb="FFFFFFFF"/>
      <x:name val="Aptos"/>
    </x:font>
    <x:font>
      <x:b/>
      <x:sz val="10"/>
      <x:color rgb="FF25313F"/>
      <x:name val="Aptos"/>
    </x:font>
    <x:font>
      <x:b/>
      <x:sz val="11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9EEF5"/>
      </x:patternFill>
    </x:fill>
    <x:fill>
      <x:patternFill patternType="solid">
        <x:fgColor rgb="FFF8FAFC"/>
      </x:patternFill>
    </x:fill>
    <x:fill>
      <x:patternFill patternType="solid">
        <x:fgColor rgb="FF263A5B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9E7"/>
      </x:patternFill>
    </x:fill>
    <x:fill>
      <x:patternFill patternType="solid">
        <x:fgColor rgb="FFE2F0D9"/>
      </x:patternFill>
    </x:fill>
    <x:fill>
      <x:patternFill patternType="solid">
        <x:fgColor rgb="FFFFF7D6"/>
      </x:patternFill>
    </x:fill>
    <x:fill>
      <x:patternFill patternType="solid">
        <x:fgColor rgb="FFDCE6F1"/>
      </x:patternFill>
    </x:fill>
    <x:fill>
      <x:patternFill patternType="solid">
        <x:fgColor rgb="FFFCE4D6"/>
      </x:patternFill>
    </x:fill>
  </x:fills>
  <x:borders count="6">
    <x:border/>
    <x:border>
      <x:left style="thin">
        <x:color rgb="FF17233C"/>
      </x:left>
      <x:top style="thin">
        <x:color rgb="FF17233C"/>
      </x:top>
      <x:bottom style="thin">
        <x:color rgb="FF17233C"/>
      </x:bottom>
    </x:border>
    <x:border>
      <x:top style="thin">
        <x:color rgb="FF17233C"/>
      </x:top>
      <x:bottom style="thin">
        <x:color rgb="FF17233C"/>
      </x:bottom>
    </x:border>
    <x:border>
      <x:right style="thin">
        <x:color rgb="FF17233C"/>
      </x:right>
      <x:top style="thin">
        <x:color rgb="FF17233C"/>
      </x:top>
      <x:bottom style="thin">
        <x:color rgb="FF17233C"/>
      </x:bottom>
    </x:border>
    <x:border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horizontal="left" wrapText="1"/>
    </x:xf>
    <x:xf numFmtId="0" fontId="2" fillId="6" borderId="5" xfId="0" applyNumberFormat="1" applyFont="1" applyFill="1" applyBorder="1" applyAlignment="1">
      <x:alignment horizontal="left" wrapText="1"/>
    </x:xf>
    <x:xf numFmtId="0" fontId="2" fillId="6" borderId="4" xfId="0" applyNumberFormat="1" applyFont="1" applyFill="1" applyBorder="1" applyAlignment="1">
      <x:alignment horizontal="left" vertical="top" wrapText="1"/>
    </x:xf>
    <x:xf numFmtId="0" fontId="2" fillId="6" borderId="5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horizontal="left" wrapText="1"/>
    </x:xf>
    <x:xf numFmtId="0" fontId="2" fillId="7" borderId="5" xfId="0" applyNumberFormat="1" applyFont="1" applyFill="1" applyBorder="1" applyAlignment="1">
      <x:alignment horizontal="left" wrapText="1"/>
    </x:xf>
    <x:xf numFmtId="0" fontId="2" fillId="7" borderId="4" xfId="0" applyNumberFormat="1" applyFont="1" applyFill="1" applyBorder="1" applyAlignment="1">
      <x:alignment horizontal="left" vertical="top" wrapText="1"/>
    </x:xf>
    <x:xf numFmtId="0" fontId="2" fillId="7" borderId="5" xfId="0" applyNumberFormat="1" applyFont="1" applyFill="1" applyBorder="1" applyAlignment="1">
      <x:alignment horizontal="left" vertical="top" wrapText="1"/>
    </x:xf>
    <x:xf numFmtId="0" fontId="2" fillId="8" borderId="4" xfId="0" applyNumberFormat="1" applyFont="1" applyFill="1" applyBorder="1" applyAlignment="1">
      <x:alignment horizontal="left" vertical="top" wrapText="1"/>
    </x:xf>
    <x:xf numFmtId="0" fontId="2" fillId="8" borderId="5" xfId="0" applyNumberFormat="1" applyFont="1" applyFill="1" applyBorder="1" applyAlignment="1">
      <x:alignment horizontal="left" vertical="top" wrapText="1"/>
    </x:xf>
    <x:xf numFmtId="0" fontId="2" fillId="9" borderId="4" xfId="0" applyNumberFormat="1" applyFont="1" applyFill="1" applyBorder="1" applyAlignment="1">
      <x:alignment horizontal="left" vertical="top" wrapText="1"/>
    </x:xf>
    <x:xf numFmtId="0" fontId="2" fillId="9" borderId="5" xfId="0" applyNumberFormat="1" applyFont="1" applyFill="1" applyBorder="1" applyAlignment="1">
      <x:alignment horizontal="left" vertical="top" wrapText="1"/>
    </x:xf>
    <x:xf numFmtId="0" fontId="2" fillId="10" borderId="4" xfId="0" applyNumberFormat="1" applyFont="1" applyFill="1" applyBorder="1" applyAlignment="1">
      <x:alignment horizontal="left" vertical="top" wrapText="1"/>
    </x:xf>
    <x:xf numFmtId="0" fontId="2" fillId="10" borderId="5" xfId="0" applyNumberFormat="1" applyFont="1" applyFill="1" applyBorder="1" applyAlignment="1">
      <x:alignment horizontal="left" vertical="top" wrapText="1"/>
    </x:xf>
    <x:xf numFmtId="0" fontId="2" fillId="11" borderId="4" xfId="0" applyNumberFormat="1" applyFont="1" applyFill="1" applyBorder="1" applyAlignment="1">
      <x:alignment horizontal="left" vertical="top" wrapText="1"/>
    </x:xf>
    <x:xf numFmtId="0" fontId="2" fillId="11" borderId="5" xfId="0" applyNumberFormat="1" applyFont="1" applyFill="1" applyBorder="1" applyAlignment="1">
      <x:alignment horizontal="left" vertical="top" wrapText="1"/>
    </x:xf>
    <x:xf numFmtId="0" fontId="2" fillId="12" borderId="4" xfId="0" applyNumberFormat="1" applyFont="1" applyFill="1" applyBorder="1" applyAlignment="1">
      <x:alignment horizontal="left" vertical="top" wrapText="1"/>
    </x:xf>
    <x:xf numFmtId="0" fontId="2" fillId="12" borderId="5" xfId="0" applyNumberFormat="1" applyFont="1" applyFill="1" applyBorder="1" applyAlignment="1">
      <x:alignment horizontal="left" vertical="top" wrapText="1"/>
    </x:xf>
    <x:xf numFmtId="0" fontId="4" fillId="13" borderId="1" xfId="0" applyNumberFormat="1" applyFont="1" applyFill="1" applyBorder="1" applyAlignment="1">
      <x:alignment horizontal="left" vertical="center" wrapText="1"/>
    </x:xf>
    <x:xf numFmtId="0" fontId="5" fillId="13" borderId="1" xfId="0" applyNumberFormat="1" applyFont="1" applyFill="1" applyBorder="1" applyAlignment="1">
      <x:alignment horizontal="left" vertical="center" wrapText="1"/>
    </x:xf>
    <x:xf numFmtId="0" fontId="4" fillId="14" borderId="2" xfId="0" applyNumberFormat="1" applyFont="1" applyFill="1" applyBorder="1" applyAlignment="1">
      <x:alignment horizontal="left" vertical="center" wrapText="1"/>
    </x:xf>
    <x:xf numFmtId="0" fontId="5" fillId="14" borderId="2" xfId="0" applyNumberFormat="1" applyFont="1" applyFill="1" applyBorder="1" applyAlignment="1">
      <x:alignment horizontal="left" vertical="center" wrapText="1"/>
    </x:xf>
    <x:xf numFmtId="0" fontId="4" fillId="8" borderId="2" xfId="0" applyNumberFormat="1" applyFont="1" applyFill="1" applyBorder="1" applyAlignment="1">
      <x:alignment horizontal="left" vertical="center" wrapText="1"/>
    </x:xf>
    <x:xf numFmtId="0" fontId="5" fillId="8" borderId="2" xfId="0" applyNumberFormat="1" applyFont="1" applyFill="1" applyBorder="1" applyAlignment="1">
      <x:alignment horizontal="left" vertical="center" wrapText="1"/>
    </x:xf>
    <x:xf numFmtId="0" fontId="4" fillId="9" borderId="2" xfId="0" applyNumberFormat="1" applyFont="1" applyFill="1" applyBorder="1" applyAlignment="1">
      <x:alignment horizontal="left" vertical="center" wrapText="1"/>
    </x:xf>
    <x:xf numFmtId="0" fontId="5" fillId="9" borderId="2" xfId="0" applyNumberFormat="1" applyFont="1" applyFill="1" applyBorder="1" applyAlignment="1">
      <x:alignment horizontal="left" vertical="center" wrapText="1"/>
    </x:xf>
    <x:xf numFmtId="0" fontId="4" fillId="11" borderId="3" xfId="0" applyNumberFormat="1" applyFont="1" applyFill="1" applyBorder="1" applyAlignment="1">
      <x:alignment horizontal="left" vertical="center" wrapText="1"/>
    </x:xf>
    <x:xf numFmtId="0" fontId="5" fillId="11" borderId="3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4" xfId="0" applyNumberFormat="1" applyFont="1" applyFill="1" applyBorder="1"/>
    <x:xf numFmtId="0" fontId="2" fillId="13" borderId="5" xfId="0" applyNumberFormat="1" applyFont="1" applyFill="1" applyBorder="1"/>
    <x:xf numFmtId="0" fontId="2" fillId="13" borderId="4" xfId="0" applyNumberFormat="1" applyFont="1" applyFill="1" applyBorder="1" applyAlignment="1">
      <x:alignment wrapText="1"/>
    </x:xf>
    <x:xf numFmtId="0" fontId="2" fillId="13" borderId="5" xfId="0" applyNumberFormat="1" applyFont="1" applyFill="1" applyBorder="1" applyAlignment="1">
      <x:alignment wrapText="1"/>
    </x:xf>
    <x:xf numFmtId="0" fontId="2" fillId="13" borderId="4" xfId="0" applyNumberFormat="1" applyFont="1" applyFill="1" applyBorder="1" applyAlignment="1">
      <x:alignment horizontal="left" wrapText="1"/>
    </x:xf>
    <x:xf numFmtId="0" fontId="2" fillId="13" borderId="5" xfId="0" applyNumberFormat="1" applyFont="1" applyFill="1" applyBorder="1" applyAlignment="1">
      <x:alignment horizontal="left" wrapText="1"/>
    </x:xf>
    <x:xf numFmtId="0" fontId="2" fillId="13" borderId="4" xfId="0" applyNumberFormat="1" applyFont="1" applyFill="1" applyBorder="1" applyAlignment="1">
      <x:alignment horizontal="left" vertical="top" wrapText="1"/>
    </x:xf>
    <x:xf numFmtId="0" fontId="2" fillId="13" borderId="5" xfId="0" applyNumberFormat="1" applyFont="1" applyFill="1" applyBorder="1" applyAlignment="1">
      <x:alignment horizontal="left" vertical="top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4" xfId="0" applyNumberFormat="1" applyFont="1" applyFill="1" applyBorder="1"/>
    <x:xf numFmtId="0" fontId="2" fillId="14" borderId="5" xfId="0" applyNumberFormat="1" applyFont="1" applyFill="1" applyBorder="1"/>
    <x:xf numFmtId="0" fontId="2" fillId="14" borderId="4" xfId="0" applyNumberFormat="1" applyFont="1" applyFill="1" applyBorder="1" applyAlignment="1">
      <x:alignment wrapText="1"/>
    </x:xf>
    <x:xf numFmtId="0" fontId="2" fillId="14" borderId="5" xfId="0" applyNumberFormat="1" applyFont="1" applyFill="1" applyBorder="1" applyAlignment="1">
      <x:alignment wrapText="1"/>
    </x:xf>
    <x:xf numFmtId="0" fontId="2" fillId="14" borderId="4" xfId="0" applyNumberFormat="1" applyFont="1" applyFill="1" applyBorder="1" applyAlignment="1">
      <x:alignment horizontal="left" wrapText="1"/>
    </x:xf>
    <x:xf numFmtId="0" fontId="2" fillId="14" borderId="5" xfId="0" applyNumberFormat="1" applyFont="1" applyFill="1" applyBorder="1" applyAlignment="1">
      <x:alignment horizontal="left" wrapText="1"/>
    </x:xf>
    <x:xf numFmtId="0" fontId="2" fillId="14" borderId="4" xfId="0" applyNumberFormat="1" applyFont="1" applyFill="1" applyBorder="1" applyAlignment="1">
      <x:alignment horizontal="left" vertical="top" wrapText="1"/>
    </x:xf>
    <x:xf numFmtId="0" fontId="2" fillId="14" borderId="5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horizontal="left" wrapText="1"/>
    </x:xf>
    <x:xf numFmtId="0" fontId="2" fillId="8" borderId="5" xfId="0" applyNumberFormat="1" applyFont="1" applyFill="1" applyBorder="1" applyAlignment="1">
      <x:alignment horizontal="left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4" xfId="0" applyNumberFormat="1" applyFont="1" applyFill="1" applyBorder="1"/>
    <x:xf numFmtId="0" fontId="2" fillId="9" borderId="5" xfId="0" applyNumberFormat="1" applyFont="1" applyFill="1" applyBorder="1"/>
    <x:xf numFmtId="0" fontId="2" fillId="9" borderId="4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horizontal="left" wrapText="1"/>
    </x:xf>
    <x:xf numFmtId="0" fontId="2" fillId="9" borderId="5" xfId="0" applyNumberFormat="1" applyFont="1" applyFill="1" applyBorder="1" applyAlignment="1">
      <x:alignment horizontal="left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4" xfId="0" applyNumberFormat="1" applyFont="1" applyFill="1" applyBorder="1"/>
    <x:xf numFmtId="0" fontId="2" fillId="11" borderId="5" xfId="0" applyNumberFormat="1" applyFont="1" applyFill="1" applyBorder="1"/>
    <x:xf numFmtId="0" fontId="2" fillId="11" borderId="4" xfId="0" applyNumberFormat="1" applyFont="1" applyFill="1" applyBorder="1" applyAlignment="1">
      <x:alignment wrapText="1"/>
    </x:xf>
    <x:xf numFmtId="0" fontId="2" fillId="11" borderId="5" xfId="0" applyNumberFormat="1" applyFont="1" applyFill="1" applyBorder="1" applyAlignment="1">
      <x:alignment wrapText="1"/>
    </x:xf>
    <x:xf numFmtId="0" fontId="2" fillId="11" borderId="4" xfId="0" applyNumberFormat="1" applyFont="1" applyFill="1" applyBorder="1" applyAlignment="1">
      <x:alignment horizontal="left" wrapText="1"/>
    </x:xf>
    <x:xf numFmtId="0" fontId="2" fillId="11" borderId="5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/>
    <x:xf numFmtId="0" fontId="5" fillId="13" borderId="4" xfId="0" applyNumberFormat="1" applyFont="1" applyFill="1" applyBorder="1" applyAlignment="1">
      <x:alignment horizontal="left" vertical="top" wrapText="1"/>
    </x:xf>
    <x:xf numFmtId="0" fontId="5" fillId="14" borderId="4" xfId="0" applyNumberFormat="1" applyFont="1" applyFill="1" applyBorder="1" applyAlignment="1">
      <x:alignment horizontal="left" vertical="top" wrapText="1"/>
    </x:xf>
    <x:xf numFmtId="0" fontId="5" fillId="8" borderId="4" xfId="0" applyNumberFormat="1" applyFont="1" applyFill="1" applyBorder="1" applyAlignment="1">
      <x:alignment horizontal="left" vertical="top" wrapText="1"/>
    </x:xf>
    <x:xf numFmtId="0" fontId="5" fillId="9" borderId="4" xfId="0" applyNumberFormat="1" applyFont="1" applyFill="1" applyBorder="1" applyAlignment="1">
      <x:alignment horizontal="left" vertical="top" wrapText="1"/>
    </x:xf>
    <x:xf numFmtId="0" fontId="5" fillId="11" borderId="4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5" fillId="7" borderId="4" xfId="0" applyNumberFormat="1" applyFont="1" applyFill="1" applyBorder="1" applyAlignment="1">
      <x:alignment horizontal="left" vertical="top" wrapText="1"/>
    </x:xf>
    <x:xf numFmtId="0" fontId="5" fillId="7" borderId="5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313F"/>
      </x:font>
      <x:fill>
        <x:patternFill patternType="solid">
          <x:bgColor rgb="FFFCE4D6"/>
        </x:patternFill>
      </x:fill>
    </x:dxf>
    <x:dxf>
      <x:font>
        <x:b/>
        <x:color rgb="FF25313F"/>
      </x:font>
      <x:fill>
        <x:patternFill patternType="solid">
          <x:bgColor rgb="FFF3F5F7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5313F"/>
      </x:font>
      <x:fill>
        <x:patternFill patternType="solid">
          <x:bgColor rgb="FFFCE4D6"/>
        </x:patternFill>
      </x:fill>
    </x:dxf>
    <x:dxf>
      <x:font>
        <x:b/>
        <x:color rgb="FF25313F"/>
      </x:font>
      <x:fill>
        <x:patternFill patternType="solid">
          <x:bgColor rgb="FFF3F5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02a201b264d38" /><Relationship Type="http://schemas.openxmlformats.org/officeDocument/2006/relationships/theme" Target="/xl/theme/theme1.xml" Id="R3c140d57756446eb" /><Relationship Type="http://schemas.openxmlformats.org/officeDocument/2006/relationships/sharedStrings" Target="/xl/sharedStrings.xml" Id="R1b95d93bc7574ad2" /><Relationship Type="http://schemas.openxmlformats.org/officeDocument/2006/relationships/worksheet" Target="/xl/worksheets/sheet1.xml" Id="R51f5f7f97e8d4bc2" /><Relationship Type="http://schemas.openxmlformats.org/officeDocument/2006/relationships/worksheet" Target="/xl/worksheets/sheet2.xml" Id="Rb76cfb696a2b4d4e" /><Relationship Type="http://schemas.openxmlformats.org/officeDocument/2006/relationships/worksheet" Target="/xl/worksheets/sheet3.xml" Id="R723f8fe804d941ac" /><Relationship Type="http://schemas.openxmlformats.org/officeDocument/2006/relationships/worksheet" Target="/xl/worksheets/sheet4.xml" Id="Rb8087e74fa9347c6" /></Relationships>
</file>

<file path=xl/tables/table1.xml><?xml version="1.0" encoding="utf-8"?>
<x:table xmlns:x="http://schemas.openxmlformats.org/spreadsheetml/2006/main" id="2" name="HelpContractReview" displayName="HelpContractReview" ref="A4:Q59" headerRowCount="1" totalsRowCount="0" totalsRowShown="0">
  <x:tableColumns count="17">
    <x:tableColumn id="1" name="CATEGORY"/>
    <x:tableColumn id="2" name="NAME"/>
    <x:tableColumn id="3" name="CURRENT EXECUTION"/>
    <x:tableColumn id="4" name="LLM DISPLAY"/>
    <x:tableColumn id="5" name="CURRENT FLOW"/>
    <x:tableColumn id="6" name="PROPOSED FLOW(S)"/>
    <x:tableColumn id="7" name="CURRENT SUMMARY"/>
    <x:tableColumn id="8" name="PROPOSED EXPLANATION"/>
    <x:tableColumn id="9" name="CURRENT EFFECT"/>
    <x:tableColumn id="10" name="PROPOSED BOUNDARY"/>
    <x:tableColumn id="11" name="CURRENT RANGE"/>
    <x:tableColumn id="12" name="PROPOSED BEST FOR"/>
    <x:tableColumn id="13" name="FORMS"/>
    <x:tableColumn id="14" name="DECISION"/>
    <x:tableColumn id="15" name="REVIEW NOTES"/>
    <x:tableColumn id="16" name="SOURCE"/>
    <x:tableColumn id="17" name="COMPLETENES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1" name="HelpCatalogSnapshot" displayName="HelpCatalogSnapshot" ref="A4:J59" headerRowCount="1" totalsRowCount="0" totalsRowShown="0">
  <x:tableColumns count="10">
    <x:tableColumn id="1" name="CATEGORY"/>
    <x:tableColumn id="2" name="NAME"/>
    <x:tableColumn id="3" name="SUMMARY"/>
    <x:tableColumn id="4" name="FLOW"/>
    <x:tableColumn id="5" name="EXECUTION"/>
    <x:tableColumn id="6" name="EFFECT"/>
    <x:tableColumn id="7" name="RANGE"/>
    <x:tableColumn id="8" name="FORMS"/>
    <x:tableColumn id="9" name="CATALOG SOURCE"/>
    <x:tableColumn id="10" name="FORMS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19b40147f443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f9036b24c546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51" hidden="0" customWidth="1"/>
    <x:col min="4" max="4" width="78" hidden="0" customWidth="1"/>
    <x:col min="5" max="5" width="60" hidden="0" customWidth="1"/>
  </x:cols>
  <x:sheetData>
    <x:row r="1" ht="32" customHeight="1">
      <x:c r="A1" s="3" t="str">
        <x:v>Mem Help · Responsive Compact Review</x:v>
      </x:c>
      <x:c r="B1" s="3"/>
      <x:c r="C1" s="3"/>
      <x:c r="D1" s="3"/>
      <x:c r="E1" s="3"/>
    </x:row>
    <x:row r="2" ht="34" customHeight="1">
      <x:c r="A2" s="7" t="str">
        <x:v>Five semantic columns for wide terminals. A narrow terminal stacks the same fields as rows. Edit proposals in Contract Review; this sheet updates through formulas.</x:v>
      </x:c>
      <x:c r="B2" s="7"/>
      <x:c r="C2" s="7"/>
      <x:c r="D2" s="7"/>
      <x:c r="E2" s="7"/>
    </x:row>
    <x:row r="3" ht="24" customHeight="1">
      <x:c r="A3" s="11" t="str">
        <x:v>Generated from current Help catalog · git a1e0ad15 · Help files have uncommitted changes · 55 operations · 2026-08-15 11:15:04 UTC</x:v>
      </x:c>
      <x:c r="B3" s="11"/>
      <x:c r="C3" s="11"/>
      <x:c r="D3" s="11"/>
      <x:c r="E3" s="11"/>
    </x:row>
    <x:row r="4">
      <x:c r="A4" s="57" t="str">
        <x:v>NAME</x:v>
      </x:c>
      <x:c r="B4" s="59" t="str">
        <x:v>LLM</x:v>
      </x:c>
      <x:c r="C4" s="61" t="str">
        <x:v>FLOW(S)</x:v>
      </x:c>
      <x:c r="D4" s="63" t="str">
        <x:v>COMPACT EXPLANATION + BOUNDARY</x:v>
      </x:c>
      <x:c r="E4" s="65" t="str">
        <x:v>BEST FOR</x:v>
      </x:c>
    </x:row>
    <x:row r="5" ht="68" customHeight="1">
      <x:c r="A5" s="74" t="str">
        <x:f>'Contract Review'!B5</x:f>
        <x:v>status</x:v>
      </x:c>
      <x:c r="B5" s="84" t="str">
        <x:f>'Contract Review'!D5</x:f>
        <x:v>NO</x:v>
      </x:c>
      <x:c r="C5" s="46" t="str">
        <x:f>IF('Contract Review'!F5&lt;&gt;"",'Contract Review'!F5,'Contract Review'!E5)</x:f>
        <x:v>Current Context -&gt; status report</x:v>
      </x:c>
      <x:c r="D5" s="48" t="str">
        <x:f>IF('Contract Review'!H5&lt;&gt;"",'Contract Review'!H5,'Contract Review'!G5)&amp;IF('Contract Review'!J5&lt;&gt;""," · Boundary: "&amp;'Contract Review'!J5,"")</x:f>
        <x:v>Show current Context counts, recent Memories, and checkpoints.</x:v>
      </x:c>
      <x:c r="E5" s="52" t="str">
        <x:f>IF('Contract Review'!L5&lt;&gt;"",'Contract Review'!L5,"— draft needed —")</x:f>
        <x:v>— draft needed —</x:v>
      </x:c>
    </x:row>
    <x:row r="6" ht="68" customHeight="1">
      <x:c r="A6" s="75" t="str">
        <x:f>'Contract Review'!B6</x:f>
        <x:v>pwd</x:v>
      </x:c>
      <x:c r="B6" s="85" t="str">
        <x:f>'Contract Review'!D6</x:f>
        <x:v>NO</x:v>
      </x:c>
      <x:c r="C6" s="47" t="str">
        <x:f>IF('Contract Review'!F6&lt;&gt;"",'Contract Review'!F6,'Contract Review'!E6)</x:f>
        <x:v>Current Context pointer -&gt; canonical name</x:v>
      </x:c>
      <x:c r="D6" s="49" t="str">
        <x:f>IF('Contract Review'!H6&lt;&gt;"",'Contract Review'!H6,'Contract Review'!G6)&amp;IF('Contract Review'!J6&lt;&gt;""," · Boundary: "&amp;'Contract Review'!J6,"")</x:f>
        <x:v>Print the current canonical Context name without loading its contents.</x:v>
      </x:c>
      <x:c r="E6" s="53" t="str">
        <x:f>IF('Contract Review'!L6&lt;&gt;"",'Contract Review'!L6,"— draft needed —")</x:f>
        <x:v>— draft needed —</x:v>
      </x:c>
    </x:row>
    <x:row r="7" ht="68" customHeight="1">
      <x:c r="A7" s="75" t="str">
        <x:f>'Contract Review'!B7</x:f>
        <x:v>contexts</x:v>
      </x:c>
      <x:c r="B7" s="85" t="str">
        <x:f>'Contract Review'!D7</x:f>
        <x:v>NO</x:v>
      </x:c>
      <x:c r="C7" s="47" t="str">
        <x:f>IF('Contract Review'!F7&lt;&gt;"",'Contract Review'!F7,'Contract Review'!E7)</x:f>
        <x:v>Profile access -&gt; readable Context catalog</x:v>
      </x:c>
      <x:c r="D7" s="49" t="str">
        <x:f>IF('Contract Review'!H7&lt;&gt;"",'Contract Review'!H7,'Contract Review'!G7)&amp;IF('Contract Review'!J7&lt;&gt;""," · Boundary: "&amp;'Contract Review'!J7,"")</x:f>
        <x:v>Browse local Contexts and readable cross-Profile Context views without switching.</x:v>
      </x:c>
      <x:c r="E7" s="53" t="str">
        <x:f>IF('Contract Review'!L7&lt;&gt;"",'Contract Review'!L7,"— draft needed —")</x:f>
        <x:v>— draft needed —</x:v>
      </x:c>
    </x:row>
    <x:row r="8" ht="68" customHeight="1">
      <x:c r="A8" s="75" t="str">
        <x:f>'Contract Review'!B8</x:f>
        <x:v>list</x:v>
      </x:c>
      <x:c r="B8" s="85" t="str">
        <x:f>'Contract Review'!D8</x:f>
        <x:v>NO</x:v>
      </x:c>
      <x:c r="C8" s="47" t="str">
        <x:f>IF('Contract Review'!F8&lt;&gt;"",'Contract Review'!F8,'Contract Review'!E8)</x:f>
        <x:v>Context -&gt; Context and direct-item listing</x:v>
      </x:c>
      <x:c r="D8" s="49" t="str">
        <x:f>IF('Contract Review'!H8&lt;&gt;"",'Contract Review'!H8,'Contract Review'!G8)&amp;IF('Contract Review'!J8&lt;&gt;""," · Boundary: "&amp;'Contract Review'!J8,"")</x:f>
        <x:v>Browse child Contexts and direct items; ls is the equivalent compact spelling.</x:v>
      </x:c>
      <x:c r="E8" s="53" t="str">
        <x:f>IF('Contract Review'!L8&lt;&gt;"",'Contract Review'!L8,"— draft needed —")</x:f>
        <x:v>— draft needed —</x:v>
      </x:c>
    </x:row>
    <x:row r="9" ht="68" customHeight="1">
      <x:c r="A9" s="75" t="str">
        <x:f>'Contract Review'!B9</x:f>
        <x:v>show</x:v>
      </x:c>
      <x:c r="B9" s="85" t="str">
        <x:f>'Contract Review'!D9</x:f>
        <x:v>NO</x:v>
      </x:c>
      <x:c r="C9" s="47" t="str">
        <x:f>IF('Contract Review'!F9&lt;&gt;"",'Contract Review'!F9,'Contract Review'!E9)</x:f>
        <x:v>Context or direct item -&gt; rendered content</x:v>
      </x:c>
      <x:c r="D9" s="49" t="str">
        <x:f>IF('Contract Review'!H9&lt;&gt;"",'Contract Review'!H9,'Contract Review'!G9)&amp;IF('Contract Review'!J9&lt;&gt;""," · Boundary: "&amp;'Contract Review'!J9,"")</x:f>
        <x:v>Show a Memory, reference, embedded Context, or the direct contents of a current/explicit Context.</x:v>
      </x:c>
      <x:c r="E9" s="53" t="str">
        <x:f>IF('Contract Review'!L9&lt;&gt;"",'Contract Review'!L9,"— draft needed —")</x:f>
        <x:v>— draft needed —</x:v>
      </x:c>
    </x:row>
    <x:row r="10" ht="68" customHeight="1">
      <x:c r="A10" s="75" t="str">
        <x:f>'Contract Review'!B10</x:f>
        <x:v>switch</x:v>
      </x:c>
      <x:c r="B10" s="85" t="str">
        <x:f>'Contract Review'!D10</x:f>
        <x:v>NO</x:v>
      </x:c>
      <x:c r="C10" s="47" t="str">
        <x:f>IF('Contract Review'!F10&lt;&gt;"",'Contract Review'!F10,'Contract Review'!E10)</x:f>
        <x:v>Context locator -&gt; current Context pointer</x:v>
      </x:c>
      <x:c r="D10" s="49" t="str">
        <x:f>IF('Contract Review'!H10&lt;&gt;"",'Contract Review'!H10,'Contract Review'!G10)&amp;IF('Contract Review'!J10&lt;&gt;""," · Boundary: "&amp;'Contract Review'!J10,"")</x:f>
        <x:v>Enter the interactive Context picker, or switch to an explicit Context.</x:v>
      </x:c>
      <x:c r="E10" s="53" t="str">
        <x:f>IF('Contract Review'!L10&lt;&gt;"",'Contract Review'!L10,"— draft needed —")</x:f>
        <x:v>— draft needed —</x:v>
      </x:c>
    </x:row>
    <x:row r="11" ht="68" customHeight="1">
      <x:c r="A11" s="75" t="str">
        <x:f>'Contract Review'!B11</x:f>
        <x:v>checkout</x:v>
      </x:c>
      <x:c r="B11" s="85" t="str">
        <x:f>'Contract Review'!D11</x:f>
        <x:v>NO</x:v>
      </x:c>
      <x:c r="C11" s="47" t="str">
        <x:f>IF('Contract Review'!F11&lt;&gt;"",'Contract Review'!F11,'Contract Review'!E11)</x:f>
        <x:v>Context locator -&gt; current Context or new branch</x:v>
      </x:c>
      <x:c r="D11" s="49" t="str">
        <x:f>IF('Contract Review'!H11&lt;&gt;"",'Contract Review'!H11,'Contract Review'!G11)&amp;IF('Contract Review'!J11&lt;&gt;""," · Boundary: "&amp;'Contract Review'!J11,"")</x:f>
        <x:v>Switch Contexts using Git-style syntax; with -b, create and switch to a new Context branch.</x:v>
      </x:c>
      <x:c r="E11" s="53" t="str">
        <x:f>IF('Contract Review'!L11&lt;&gt;"",'Contract Review'!L11,"— draft needed —")</x:f>
        <x:v>— draft needed —</x:v>
      </x:c>
    </x:row>
    <x:row r="12" ht="68" customHeight="1">
      <x:c r="A12" s="75" t="str">
        <x:f>'Contract Review'!B12</x:f>
        <x:v>init</x:v>
      </x:c>
      <x:c r="B12" s="85" t="str">
        <x:f>'Contract Review'!D12</x:f>
        <x:v>NO</x:v>
      </x:c>
      <x:c r="C12" s="47" t="str">
        <x:f>IF('Contract Review'!F12&lt;&gt;"",'Contract Review'!F12,'Contract Review'!E12)</x:f>
        <x:v>New Context name -&gt; Context</x:v>
      </x:c>
      <x:c r="D12" s="49" t="str">
        <x:f>IF('Contract Review'!H12&lt;&gt;"",'Contract Review'!H12,'Contract Review'!G12)&amp;IF('Contract Review'!J12&lt;&gt;""," · Boundary: "&amp;'Contract Review'!J12,"")</x:f>
        <x:v>Create a named Context, optionally ensure its parents, and switch to it.</x:v>
      </x:c>
      <x:c r="E12" s="53" t="str">
        <x:f>IF('Contract Review'!L12&lt;&gt;"",'Contract Review'!L12,"— draft needed —")</x:f>
        <x:v>— draft needed —</x:v>
      </x:c>
    </x:row>
    <x:row r="13" ht="68" customHeight="1">
      <x:c r="A13" s="75" t="str">
        <x:f>'Contract Review'!B13</x:f>
        <x:v>branch</x:v>
      </x:c>
      <x:c r="B13" s="85" t="str">
        <x:f>'Contract Review'!D13</x:f>
        <x:v>NO</x:v>
      </x:c>
      <x:c r="C13" s="47" t="str">
        <x:f>IF('Contract Review'!F13&lt;&gt;"",'Contract Review'!F13,'Contract Review'!E13)</x:f>
        <x:v>Context -&gt; new Context branch</x:v>
      </x:c>
      <x:c r="D13" s="49" t="str">
        <x:f>IF('Contract Review'!H13&lt;&gt;"",'Contract Review'!H13,'Contract Review'!G13)&amp;IF('Contract Review'!J13&lt;&gt;""," · Boundary: "&amp;'Contract Review'!J13,"")</x:f>
        <x:v>Copy a Context or subtree into a new branch and switch to it.</x:v>
      </x:c>
      <x:c r="E13" s="53" t="str">
        <x:f>IF('Contract Review'!L13&lt;&gt;"",'Contract Review'!L13,"— draft needed —")</x:f>
        <x:v>— draft needed —</x:v>
      </x:c>
    </x:row>
    <x:row r="14" ht="68" customHeight="1">
      <x:c r="A14" s="75" t="str">
        <x:f>'Contract Review'!B14</x:f>
        <x:v>import</x:v>
      </x:c>
      <x:c r="B14" s="85" t="str">
        <x:f>'Contract Review'!D14</x:f>
        <x:v>NO</x:v>
      </x:c>
      <x:c r="C14" s="47" t="str">
        <x:f>IF('Contract Review'!F14&lt;&gt;"",'Contract Review'!F14,'Contract Review'!E14)</x:f>
        <x:v>External resource -&gt; local owned copy</x:v>
      </x:c>
      <x:c r="D14" s="49" t="str">
        <x:f>IF('Contract Review'!H14&lt;&gt;"",'Contract Review'!H14,'Contract Review'!G14)&amp;IF('Contract Review'!J14&lt;&gt;""," · Boundary: "&amp;'Contract Review'!J14,"")</x:f>
        <x:v>Import a clean-baseline Profile, Context tree, or Memory by value while preserving resource identity.</x:v>
      </x:c>
      <x:c r="E14" s="53" t="str">
        <x:f>IF('Contract Review'!L14&lt;&gt;"",'Contract Review'!L14,"— draft needed —")</x:f>
        <x:v>— draft needed —</x:v>
      </x:c>
    </x:row>
    <x:row r="15" ht="68" customHeight="1">
      <x:c r="A15" s="75" t="str">
        <x:f>'Contract Review'!B15</x:f>
        <x:v>embed</x:v>
      </x:c>
      <x:c r="B15" s="85" t="str">
        <x:f>'Contract Review'!D15</x:f>
        <x:v>NO</x:v>
      </x:c>
      <x:c r="C15" s="47" t="str">
        <x:f>IF('Contract Review'!F15&lt;&gt;"",'Contract Review'!F15,'Contract Review'!E15)</x:f>
        <x:v>Child Context -&gt; parent Context placement</x:v>
      </x:c>
      <x:c r="D15" s="49" t="str">
        <x:f>IF('Contract Review'!H15&lt;&gt;"",'Contract Review'!H15,'Contract Review'!G15)&amp;IF('Contract Review'!J15&lt;&gt;""," · Boundary: "&amp;'Contract Review'!J15,"")</x:f>
        <x:v>Place a Child Context inside a target while retaining its identity and ownership.</x:v>
      </x:c>
      <x:c r="E15" s="53" t="str">
        <x:f>IF('Contract Review'!L15&lt;&gt;"",'Contract Review'!L15,"— draft needed —")</x:f>
        <x:v>— draft needed —</x:v>
      </x:c>
    </x:row>
    <x:row r="16" ht="68" customHeight="1">
      <x:c r="A16" s="75" t="str">
        <x:f>'Contract Review'!B16</x:f>
        <x:v>add</x:v>
      </x:c>
      <x:c r="B16" s="85" t="str">
        <x:f>'Contract Review'!D16</x:f>
        <x:v>NO</x:v>
      </x:c>
      <x:c r="C16" s="47" t="str">
        <x:f>IF('Contract Review'!F16&lt;&gt;"",'Contract Review'!F16,'Contract Review'!E16)</x:f>
        <x:v>Text or file -&gt; Context Memories</x:v>
      </x:c>
      <x:c r="D16" s="49" t="str">
        <x:f>IF('Contract Review'!H16&lt;&gt;"",'Contract Review'!H16,'Contract Review'!G16)&amp;IF('Contract Review'!J16&lt;&gt;""," · Boundary: "&amp;'Contract Review'!J16,"")</x:f>
        <x:v>Add one or more Memories to the current or explicit Context.</x:v>
      </x:c>
      <x:c r="E16" s="53" t="str">
        <x:f>IF('Contract Review'!L16&lt;&gt;"",'Contract Review'!L16,"— draft needed —")</x:f>
        <x:v>— draft needed —</x:v>
      </x:c>
    </x:row>
    <x:row r="17" ht="68" customHeight="1">
      <x:c r="A17" s="75" t="str">
        <x:f>'Contract Review'!B17</x:f>
        <x:v>reference</x:v>
      </x:c>
      <x:c r="B17" s="85" t="str">
        <x:f>'Contract Review'!D17</x:f>
        <x:v>NO</x:v>
      </x:c>
      <x:c r="C17" s="47" t="str">
        <x:f>IF('Contract Review'!F17&lt;&gt;"",'Contract Review'!F17,'Contract Review'!E17)</x:f>
        <x:v>Source Memory -&gt; Target Context reference</x:v>
      </x:c>
      <x:c r="D17" s="49" t="str">
        <x:f>IF('Contract Review'!H17&lt;&gt;"",'Contract Review'!H17,'Contract Review'!G17)&amp;IF('Contract Review'!J17&lt;&gt;""," · Boundary: "&amp;'Contract Review'!J17,"")</x:f>
        <x:v>Add a read-only Memory pointer; the Target stores identity metadata rather than copying content.</x:v>
      </x:c>
      <x:c r="E17" s="53" t="str">
        <x:f>IF('Contract Review'!L17&lt;&gt;"",'Contract Review'!L17,"— draft needed —")</x:f>
        <x:v>— draft needed —</x:v>
      </x:c>
    </x:row>
    <x:row r="18" ht="68" customHeight="1">
      <x:c r="A18" s="75" t="str">
        <x:f>'Contract Review'!B18</x:f>
        <x:v>edit</x:v>
      </x:c>
      <x:c r="B18" s="85" t="str">
        <x:f>'Contract Review'!D18</x:f>
        <x:v>NO</x:v>
      </x:c>
      <x:c r="C18" s="47" t="str">
        <x:f>IF('Contract Review'!F18&lt;&gt;"",'Contract Review'!F18,'Contract Review'!E18)</x:f>
        <x:v>Memory -&gt; replacement Memory content</x:v>
      </x:c>
      <x:c r="D18" s="49" t="str">
        <x:f>IF('Contract Review'!H18&lt;&gt;"",'Contract Review'!H18,'Contract Review'!G18)&amp;IF('Contract Review'!J18&lt;&gt;""," · Boundary: "&amp;'Contract Review'!J18,"")</x:f>
        <x:v>Replace direct Memory content by UID or prefix in the current or explicit Context.</x:v>
      </x:c>
      <x:c r="E18" s="53" t="str">
        <x:f>IF('Contract Review'!L18&lt;&gt;"",'Contract Review'!L18,"— draft needed —")</x:f>
        <x:v>— draft needed —</x:v>
      </x:c>
    </x:row>
    <x:row r="19" ht="68" customHeight="1">
      <x:c r="A19" s="75" t="str">
        <x:f>'Contract Review'!B19</x:f>
        <x:v>chunk</x:v>
      </x:c>
      <x:c r="B19" s="85" t="str">
        <x:f>'Contract Review'!D19</x:f>
        <x:v>NO</x:v>
      </x:c>
      <x:c r="C19" s="47" t="str">
        <x:f>IF('Contract Review'!F19&lt;&gt;"",'Contract Review'!F19,'Contract Review'!E19)</x:f>
        <x:v>Memory -&gt; ordered Memory chunks</x:v>
      </x:c>
      <x:c r="D19" s="49" t="str">
        <x:f>IF('Contract Review'!H19&lt;&gt;"",'Contract Review'!H19,'Contract Review'!G19)&amp;IF('Contract Review'!J19&lt;&gt;""," · Boundary: "&amp;'Contract Review'!J19,"")</x:f>
        <x:v>Preview and split one direct Memory by headers, paragraphs, or sentences.</x:v>
      </x:c>
      <x:c r="E19" s="53" t="str">
        <x:f>IF('Contract Review'!L19&lt;&gt;"",'Contract Review'!L19,"— draft needed —")</x:f>
        <x:v>— draft needed —</x:v>
      </x:c>
    </x:row>
    <x:row r="20" ht="68" customHeight="1">
      <x:c r="A20" s="75" t="str">
        <x:f>'Contract Review'!B20</x:f>
        <x:v>forget</x:v>
      </x:c>
      <x:c r="B20" s="85" t="str">
        <x:f>'Contract Review'!D20</x:f>
        <x:v>YES — CACHE OR PROVIDER</x:v>
      </x:c>
      <x:c r="C20" s="47" t="str">
        <x:f>IF('Contract Review'!F20&lt;&gt;"",'Contract Review'!F20,'Contract Review'!E20)</x:f>
        <x:v>Context + instruction -&gt; reviewed curation batch</x:v>
      </x:c>
      <x:c r="D20" s="49" t="str">
        <x:f>IF('Contract Review'!H20&lt;&gt;"",'Contract Review'!H20,'Contract Review'!G20)&amp;IF('Contract Review'!J20&lt;&gt;""," · Boundary: "&amp;'Contract Review'!J20,"")</x:f>
        <x:v>Review keep/edit/delete decisions for one instruction, then apply the accepted batch.</x:v>
      </x:c>
      <x:c r="E20" s="53" t="str">
        <x:f>IF('Contract Review'!L20&lt;&gt;"",'Contract Review'!L20,"— draft needed —")</x:f>
        <x:v>— draft needed —</x:v>
      </x:c>
    </x:row>
    <x:row r="21" ht="68" customHeight="1">
      <x:c r="A21" s="75" t="str">
        <x:f>'Contract Review'!B21</x:f>
        <x:v>delete</x:v>
      </x:c>
      <x:c r="B21" s="85" t="str">
        <x:f>'Contract Review'!D21</x:f>
        <x:v>NO</x:v>
      </x:c>
      <x:c r="C21" s="47" t="str">
        <x:f>IF('Contract Review'!F21&lt;&gt;"",'Contract Review'!F21,'Contract Review'!E21)</x:f>
        <x:v>Context or direct item -&gt; removed</x:v>
      </x:c>
      <x:c r="D21" s="49" t="str">
        <x:f>IF('Contract Review'!H21&lt;&gt;"",'Contract Review'!H21,'Contract Review'!G21)&amp;IF('Contract Review'!J21&lt;&gt;""," · Boundary: "&amp;'Contract Review'!J21,"")</x:f>
        <x:v>Select a Context or direct item to delete, or name it by locator, name, or UID.</x:v>
      </x:c>
      <x:c r="E21" s="53" t="str">
        <x:f>IF('Contract Review'!L21&lt;&gt;"",'Contract Review'!L21,"— draft needed —")</x:f>
        <x:v>— draft needed —</x:v>
      </x:c>
    </x:row>
    <x:row r="22" ht="68" customHeight="1">
      <x:c r="A22" s="75" t="str">
        <x:f>'Contract Review'!B22</x:f>
        <x:v>clear</x:v>
      </x:c>
      <x:c r="B22" s="85" t="str">
        <x:f>'Contract Review'!D22</x:f>
        <x:v>NO</x:v>
      </x:c>
      <x:c r="C22" s="47" t="str">
        <x:f>IF('Contract Review'!F22&lt;&gt;"",'Contract Review'!F22,'Contract Review'!E22)</x:f>
        <x:v>Context direct items -&gt; empty Context</x:v>
      </x:c>
      <x:c r="D22" s="49" t="str">
        <x:f>IF('Contract Review'!H22&lt;&gt;"",'Contract Review'!H22,'Contract Review'!G22)&amp;IF('Contract Review'!J22&lt;&gt;""," · Boundary: "&amp;'Contract Review'!J22,"")</x:f>
        <x:v>Remove all direct items from the current or explicit Context after confirmation.</x:v>
      </x:c>
      <x:c r="E22" s="53" t="str">
        <x:f>IF('Contract Review'!L22&lt;&gt;"",'Contract Review'!L22,"— draft needed —")</x:f>
        <x:v>— draft needed —</x:v>
      </x:c>
    </x:row>
    <x:row r="23" ht="68" customHeight="1">
      <x:c r="A23" s="75" t="str">
        <x:f>'Contract Review'!B23</x:f>
        <x:v>find</x:v>
      </x:c>
      <x:c r="B23" s="85" t="str">
        <x:f>'Contract Review'!D23</x:f>
        <x:v>YES — CACHE OR PROVIDER</x:v>
      </x:c>
      <x:c r="C23" s="47" t="str">
        <x:f>IF('Contract Review'!F23&lt;&gt;"",'Contract Review'!F23,'Contract Review'!E23)</x:f>
        <x:v>Context set + query -&gt; ranked Memories</x:v>
      </x:c>
      <x:c r="D23" s="49" t="str">
        <x:f>IF('Contract Review'!H23&lt;&gt;"",'Contract Review'!H23,'Contract Review'!G23)&amp;IF('Contract Review'!J23&lt;&gt;""," · Boundary: "&amp;'Contract Review'!J23,"")</x:f>
        <x:v>Search selected Contexts with explicit lexical-descendant and embedded-Context reach.</x:v>
      </x:c>
      <x:c r="E23" s="53" t="str">
        <x:f>IF('Contract Review'!L23&lt;&gt;"",'Contract Review'!L23,"— draft needed —")</x:f>
        <x:v>— draft needed —</x:v>
      </x:c>
    </x:row>
    <x:row r="24" ht="68" customHeight="1">
      <x:c r="A24" s="75" t="str">
        <x:f>'Contract Review'!B24</x:f>
        <x:v>query</x:v>
      </x:c>
      <x:c r="B24" s="85" t="str">
        <x:f>'Contract Review'!D24</x:f>
        <x:v>YES — CACHE OR PROVIDER</x:v>
      </x:c>
      <x:c r="C24" s="47" t="str">
        <x:f>IF('Contract Review'!F24&lt;&gt;"",'Contract Review'!F24,'Contract Review'!E24)</x:f>
        <x:v>Readable source + question -&gt; answer with references</x:v>
      </x:c>
      <x:c r="D24" s="49" t="str">
        <x:f>IF('Contract Review'!H24&lt;&gt;"",'Contract Review'!H24,'Contract Review'!G24)&amp;IF('Contract Review'!J24&lt;&gt;""," · Boundary: "&amp;'Contract Review'!J24,"")</x:f>
        <x:v>Ask readable Context knowledge or an authorized concealed query-only view.</x:v>
      </x:c>
      <x:c r="E24" s="53" t="str">
        <x:f>IF('Contract Review'!L24&lt;&gt;"",'Contract Review'!L24,"— draft needed —")</x:f>
        <x:v>— draft needed —</x:v>
      </x:c>
    </x:row>
    <x:row r="25" ht="68" customHeight="1">
      <x:c r="A25" s="75" t="str">
        <x:f>'Contract Review'!B25</x:f>
        <x:v>summarize</x:v>
      </x:c>
      <x:c r="B25" s="85" t="str">
        <x:f>'Contract Review'!D25</x:f>
        <x:v>YES — CACHE OR PROVIDER</x:v>
      </x:c>
      <x:c r="C25" s="47" t="str">
        <x:f>IF('Contract Review'!F25&lt;&gt;"",'Contract Review'!F25,'Contract Review'!E25)</x:f>
        <x:v>Context -&gt; summary</x:v>
      </x:c>
      <x:c r="D25" s="49" t="str">
        <x:f>IF('Contract Review'!H25&lt;&gt;"",'Contract Review'!H25,'Contract Review'!G25)&amp;IF('Contract Review'!J25&lt;&gt;""," · Boundary: "&amp;'Contract Review'!J25,"")</x:f>
        <x:v>Show what Mem understands from a Context's visible ordinary Memories.</x:v>
      </x:c>
      <x:c r="E25" s="53" t="str">
        <x:f>IF('Contract Review'!L25&lt;&gt;"",'Contract Review'!L25,"— draft needed —")</x:f>
        <x:v>— draft needed —</x:v>
      </x:c>
    </x:row>
    <x:row r="26" ht="68" customHeight="1">
      <x:c r="A26" s="75" t="str">
        <x:f>'Contract Review'!B26</x:f>
        <x:v>trace</x:v>
      </x:c>
      <x:c r="B26" s="85" t="str">
        <x:f>'Contract Review'!D26</x:f>
        <x:v>NO</x:v>
      </x:c>
      <x:c r="C26" s="47" t="str">
        <x:f>IF('Contract Review'!F26&lt;&gt;"",'Contract Review'!F26,'Contract Review'!E26)</x:f>
        <x:v>Memory -&gt; retained lineage</x:v>
      </x:c>
      <x:c r="D26" s="49" t="str">
        <x:f>IF('Contract Review'!H26&lt;&gt;"",'Contract Review'!H26,'Contract Review'!G26)&amp;IF('Contract Review'!J26&lt;&gt;""," · Boundary: "&amp;'Contract Review'!J26,"")</x:f>
        <x:v>Trace one retained Memory through its recorded lineage.</x:v>
      </x:c>
      <x:c r="E26" s="53" t="str">
        <x:f>IF('Contract Review'!L26&lt;&gt;"",'Contract Review'!L26,"— draft needed —")</x:f>
        <x:v>— draft needed —</x:v>
      </x:c>
    </x:row>
    <x:row r="27" ht="68" customHeight="1">
      <x:c r="A27" s="75" t="str">
        <x:f>'Contract Review'!B27</x:f>
        <x:v>rationale</x:v>
      </x:c>
      <x:c r="B27" s="85" t="str">
        <x:f>'Contract Review'!D27</x:f>
        <x:v>DEPENDS ON FORM</x:v>
      </x:c>
      <x:c r="C27" s="47" t="str">
        <x:f>IF('Contract Review'!F27&lt;&gt;"",'Contract Review'!F27,'Contract Review'!E27)</x:f>
        <x:v>Memory provenance -&gt; rationale</x:v>
      </x:c>
      <x:c r="D27" s="49" t="str">
        <x:f>IF('Contract Review'!H27&lt;&gt;"",'Contract Review'!H27,'Contract Review'!G27)&amp;IF('Contract Review'!J27&lt;&gt;""," · Boundary: "&amp;'Contract Review'!J27,"")</x:f>
        <x:v>Explain one Memory from recorded provenance and, when needed, inference.</x:v>
      </x:c>
      <x:c r="E27" s="53" t="str">
        <x:f>IF('Contract Review'!L27&lt;&gt;"",'Contract Review'!L27,"— draft needed —")</x:f>
        <x:v>— draft needed —</x:v>
      </x:c>
    </x:row>
    <x:row r="28" ht="68" customHeight="1">
      <x:c r="A28" s="75" t="str">
        <x:f>'Contract Review'!B28</x:f>
        <x:v>find-duplicates</x:v>
      </x:c>
      <x:c r="B28" s="85" t="str">
        <x:f>'Contract Review'!D28</x:f>
        <x:v>YES — CACHE OR PROVIDER</x:v>
      </x:c>
      <x:c r="C28" s="47" t="str">
        <x:f>IF('Contract Review'!F28&lt;&gt;"",'Contract Review'!F28,'Contract Review'!E28)</x:f>
        <x:v>Context Memories -&gt; duplicate report</x:v>
      </x:c>
      <x:c r="D28" s="49" t="str">
        <x:f>IF('Contract Review'!H28&lt;&gt;"",'Contract Review'!H28,'Contract Review'!G28)&amp;IF('Contract Review'!J28&lt;&gt;""," · Boundary: "&amp;'Contract Review'!J28,"")</x:f>
        <x:v>Report duplicate direct Memories in the current or explicit Context; no Context changes.</x:v>
      </x:c>
      <x:c r="E28" s="53" t="str">
        <x:f>IF('Contract Review'!L28&lt;&gt;"",'Contract Review'!L28,"— draft needed —")</x:f>
        <x:v>— draft needed —</x:v>
      </x:c>
    </x:row>
    <x:row r="29" ht="68" customHeight="1">
      <x:c r="A29" s="75" t="str">
        <x:f>'Contract Review'!B29</x:f>
        <x:v>find-ambiguities</x:v>
      </x:c>
      <x:c r="B29" s="85" t="str">
        <x:f>'Contract Review'!D29</x:f>
        <x:v>YES — CACHE OR PROVIDER</x:v>
      </x:c>
      <x:c r="C29" s="47" t="str">
        <x:f>IF('Contract Review'!F29&lt;&gt;"",'Contract Review'!F29,'Contract Review'!E29)</x:f>
        <x:v>Context Memories -&gt; ambiguity report</x:v>
      </x:c>
      <x:c r="D29" s="49" t="str">
        <x:f>IF('Contract Review'!H29&lt;&gt;"",'Contract Review'!H29,'Contract Review'!G29)&amp;IF('Contract Review'!J29&lt;&gt;""," · Boundary: "&amp;'Contract Review'!J29,"")</x:f>
        <x:v>Report ambiguous direct Memories in the current or explicit Context; no Context changes.</x:v>
      </x:c>
      <x:c r="E29" s="53" t="str">
        <x:f>IF('Contract Review'!L29&lt;&gt;"",'Contract Review'!L29,"— draft needed —")</x:f>
        <x:v>— draft needed —</x:v>
      </x:c>
    </x:row>
    <x:row r="30" ht="68" customHeight="1">
      <x:c r="A30" s="75" t="str">
        <x:f>'Contract Review'!B30</x:f>
        <x:v>find-conflicts</x:v>
      </x:c>
      <x:c r="B30" s="85" t="str">
        <x:f>'Contract Review'!D30</x:f>
        <x:v>YES — CACHE OR PROVIDER</x:v>
      </x:c>
      <x:c r="C30" s="47" t="str">
        <x:f>IF('Contract Review'!F30&lt;&gt;"",'Contract Review'!F30,'Contract Review'!E30)</x:f>
        <x:v>Context Memories -&gt; conflict report</x:v>
      </x:c>
      <x:c r="D30" s="49" t="str">
        <x:f>IF('Contract Review'!H30&lt;&gt;"",'Contract Review'!H30,'Contract Review'!G30)&amp;IF('Contract Review'!J30&lt;&gt;""," · Boundary: "&amp;'Contract Review'!J30,"")</x:f>
        <x:v>Report conflicting direct Memory pairs in the current or explicit Context; no Context changes.</x:v>
      </x:c>
      <x:c r="E30" s="53" t="str">
        <x:f>IF('Contract Review'!L30&lt;&gt;"",'Contract Review'!L30,"— draft needed —")</x:f>
        <x:v>— draft needed —</x:v>
      </x:c>
    </x:row>
    <x:row r="31" ht="68" customHeight="1">
      <x:c r="A31" s="75" t="str">
        <x:f>'Contract Review'!B31</x:f>
        <x:v>audit</x:v>
      </x:c>
      <x:c r="B31" s="85" t="str">
        <x:f>'Contract Review'!D31</x:f>
        <x:v>YES — CACHE OR PROVIDER</x:v>
      </x:c>
      <x:c r="C31" s="47" t="str">
        <x:f>IF('Contract Review'!F31&lt;&gt;"",'Contract Review'!F31,'Contract Review'!E31)</x:f>
        <x:v>Context -&gt; saved quality report</x:v>
      </x:c>
      <x:c r="D31" s="49" t="str">
        <x:f>IF('Contract Review'!H31&lt;&gt;"",'Contract Review'!H31,'Contract Review'!G31)&amp;IF('Contract Review'!J31&lt;&gt;""," · Boundary: "&amp;'Contract Review'!J31,"")</x:f>
        <x:v>Run Duplicate, Ambiguity, and Conflict checks and review one saved report.</x:v>
      </x:c>
      <x:c r="E31" s="53" t="str">
        <x:f>IF('Contract Review'!L31&lt;&gt;"",'Contract Review'!L31,"— draft needed —")</x:f>
        <x:v>— draft needed —</x:v>
      </x:c>
    </x:row>
    <x:row r="32" ht="68" customHeight="1">
      <x:c r="A32" s="75" t="str">
        <x:f>'Contract Review'!B32</x:f>
        <x:v>atomize</x:v>
      </x:c>
      <x:c r="B32" s="85" t="str">
        <x:f>'Contract Review'!D32</x:f>
        <x:v>YES — CACHE OR PROVIDER</x:v>
      </x:c>
      <x:c r="C32" s="47" t="str">
        <x:f>IF('Contract Review'!F32&lt;&gt;"",'Contract Review'!F32,'Contract Review'!E32)</x:f>
        <x:v>Context Memories -&gt; reviewed atomic Memories</x:v>
      </x:c>
      <x:c r="D32" s="49" t="str">
        <x:f>IF('Contract Review'!H32&lt;&gt;"",'Contract Review'!H32,'Contract Review'!G32)&amp;IF('Contract Review'!J32&lt;&gt;""," · Boundary: "&amp;'Contract Review'!J32,"")</x:f>
        <x:v>Split composite Memories for review; --evaluate performs an issue-scoped directional meld.</x:v>
      </x:c>
      <x:c r="E32" s="53" t="str">
        <x:f>IF('Contract Review'!L32&lt;&gt;"",'Contract Review'!L32,"— draft needed —")</x:f>
        <x:v>— draft needed —</x:v>
      </x:c>
    </x:row>
    <x:row r="33" ht="68" customHeight="1">
      <x:c r="A33" s="75" t="str">
        <x:f>'Contract Review'!B33</x:f>
        <x:v>distill</x:v>
      </x:c>
      <x:c r="B33" s="85" t="str">
        <x:f>'Contract Review'!D33</x:f>
        <x:v>YES — CACHE OR PROVIDER</x:v>
      </x:c>
      <x:c r="C33" s="47" t="str">
        <x:f>IF('Contract Review'!F33&lt;&gt;"",'Contract Review'!F33,'Contract Review'!E33)</x:f>
        <x:v>Goal? + Source Context -&gt; reviewed Rule Context</x:v>
      </x:c>
      <x:c r="D33" s="49" t="str">
        <x:f>IF('Contract Review'!H33&lt;&gt;"",'Contract Review'!H33,'Contract Review'!G33)&amp;IF('Contract Review'!J33&lt;&gt;""," · Boundary: "&amp;'Contract Review'!J33,"")</x:f>
        <x:v>Derive evidence-bound reusable Rules from a Context, optionally guided by a Goal.</x:v>
      </x:c>
      <x:c r="E33" s="53" t="str">
        <x:f>IF('Contract Review'!L33&lt;&gt;"",'Contract Review'!L33,"— draft needed —")</x:f>
        <x:v>— draft needed —</x:v>
      </x:c>
    </x:row>
    <x:row r="34" ht="68" customHeight="1">
      <x:c r="A34" s="75" t="str">
        <x:f>'Contract Review'!B34</x:f>
        <x:v>compare</x:v>
      </x:c>
      <x:c r="B34" s="85" t="str">
        <x:f>'Contract Review'!D34</x:f>
        <x:v>YES — CACHE OR PROVIDER</x:v>
      </x:c>
      <x:c r="C34" s="47" t="str">
        <x:f>IF('Contract Review'!F34&lt;&gt;"",'Contract Review'!F34,'Contract Review'!E34)</x:f>
        <x:v>Context &lt;-&gt; Context -&gt; comparison report</x:v>
      </x:c>
      <x:c r="D34" s="49" t="str">
        <x:f>IF('Contract Review'!H34&lt;&gt;"",'Contract Review'!H34,'Contract Review'!G34)&amp;IF('Contract Review'!J34&lt;&gt;""," · Boundary: "&amp;'Contract Review'!J34,"")</x:f>
        <x:v>Compare two equal-authority Contexts without changing either one.</x:v>
      </x:c>
      <x:c r="E34" s="53" t="str">
        <x:f>IF('Contract Review'!L34&lt;&gt;"",'Contract Review'!L34,"— draft needed —")</x:f>
        <x:v>— draft needed —</x:v>
      </x:c>
    </x:row>
    <x:row r="35" ht="68" customHeight="1">
      <x:c r="A35" s="75" t="str">
        <x:f>'Contract Review'!B35</x:f>
        <x:v>impact</x:v>
      </x:c>
      <x:c r="B35" s="85" t="str">
        <x:f>'Contract Review'!D35</x:f>
        <x:v>DEPENDS ON FORM</x:v>
      </x:c>
      <x:c r="C35" s="47" t="str">
        <x:f>IF('Contract Review'!F35&lt;&gt;"",'Contract Review'!F35,'Contract Review'!E35)</x:f>
        <x:v>Operation inputs or session -&gt; impact report</x:v>
      </x:c>
      <x:c r="D35" s="49" t="str">
        <x:f>IF('Contract Review'!H35&lt;&gt;"",'Contract Review'!H35,'Contract Review'!G35)&amp;IF('Contract Review'!J35&lt;&gt;""," · Boundary: "&amp;'Contract Review'!J35,"")</x:f>
        <x:v>Preview or inspect operation Impact; no Context changes occur before its reviewed Apply handoff.</x:v>
      </x:c>
      <x:c r="E35" s="53" t="str">
        <x:f>IF('Contract Review'!L35&lt;&gt;"",'Contract Review'!L35,"— draft needed —")</x:f>
        <x:v>— draft needed —</x:v>
      </x:c>
    </x:row>
    <x:row r="36" ht="68" customHeight="1">
      <x:c r="A36" s="75" t="str">
        <x:f>'Contract Review'!B36</x:f>
        <x:v>review</x:v>
      </x:c>
      <x:c r="B36" s="85" t="str">
        <x:f>'Contract Review'!D36</x:f>
        <x:v>DEPENDS ON FORM</x:v>
      </x:c>
      <x:c r="C36" s="47" t="str">
        <x:f>IF('Contract Review'!F36&lt;&gt;"",'Contract Review'!F36,'Contract Review'!E36)</x:f>
        <x:v>Saved analysis -&gt; review responses</x:v>
      </x:c>
      <x:c r="D36" s="49" t="str">
        <x:f>IF('Contract Review'!H36&lt;&gt;"",'Contract Review'!H36,'Contract Review'!G36)&amp;IF('Contract Review'!J36&lt;&gt;""," · Boundary: "&amp;'Contract Review'!J36,"")</x:f>
        <x:v>Enter an interactive Review session or stage semantic review responses; never apply Memories.</x:v>
      </x:c>
      <x:c r="E36" s="53" t="str">
        <x:f>IF('Contract Review'!L36&lt;&gt;"",'Contract Review'!L36,"— draft needed —")</x:f>
        <x:v>— draft needed —</x:v>
      </x:c>
    </x:row>
    <x:row r="37" ht="68" customHeight="1">
      <x:c r="A37" s="75" t="str">
        <x:f>'Contract Review'!B37</x:f>
        <x:v>meld</x:v>
      </x:c>
      <x:c r="B37" s="85" t="str">
        <x:f>'Contract Review'!D37</x:f>
        <x:v>YES — CACHE OR PROVIDER</x:v>
      </x:c>
      <x:c r="C37" s="47" t="str">
        <x:f>IF('Contract Review'!F37&lt;&gt;"",'Contract Review'!F37,'Contract Review'!E37)</x:f>
        <x:v>Context &lt;-&gt; Context or Incoming -&gt; Baseline</x:v>
      </x:c>
      <x:c r="D37" s="49" t="str">
        <x:f>IF('Contract Review'!H37&lt;&gt;"",'Contract Review'!H37,'Contract Review'!G37)&amp;IF('Contract Review'!J37&lt;&gt;""," · Boundary: "&amp;'Contract Review'!J37,"")</x:f>
        <x:v>Combine two equal-authority Contexts in the current empty Context; --from is normalized to INCOMING --into authoritative BASELINE.</x:v>
      </x:c>
      <x:c r="E37" s="53" t="str">
        <x:f>IF('Contract Review'!L37&lt;&gt;"",'Contract Review'!L37,"— draft needed —")</x:f>
        <x:v>— draft needed —</x:v>
      </x:c>
    </x:row>
    <x:row r="38" ht="68" customHeight="1">
      <x:c r="A38" s="75" t="str">
        <x:f>'Contract Review'!B38</x:f>
        <x:v>update</x:v>
      </x:c>
      <x:c r="B38" s="85" t="str">
        <x:f>'Contract Review'!D38</x:f>
        <x:v>YES — CACHE OR PROVIDER</x:v>
      </x:c>
      <x:c r="C38" s="47" t="str">
        <x:f>IF('Contract Review'!F38&lt;&gt;"",'Contract Review'!F38,'Contract Review'!E38)</x:f>
        <x:v>Source Context -&gt; Target Context</x:v>
      </x:c>
      <x:c r="D38" s="49" t="str">
        <x:f>IF('Contract Review'!H38&lt;&gt;"",'Contract Review'!H38,'Contract Review'!G38)&amp;IF('Contract Review'!J38&lt;&gt;""," · Boundary: "&amp;'Contract Review'!J38,"")</x:f>
        <x:v>Review a directional plan and apply it to a local target; no shared publication.</x:v>
      </x:c>
      <x:c r="E38" s="53" t="str">
        <x:f>IF('Contract Review'!L38&lt;&gt;"",'Contract Review'!L38,"— draft needed —")</x:f>
        <x:v>— draft needed —</x:v>
      </x:c>
    </x:row>
    <x:row r="39" ht="68" customHeight="1">
      <x:c r="A39" s="75" t="str">
        <x:f>'Contract Review'!B39</x:f>
        <x:v>sever</x:v>
      </x:c>
      <x:c r="B39" s="85" t="str">
        <x:f>'Contract Review'!D39</x:f>
        <x:v>YES — CACHE OR PROVIDER</x:v>
      </x:c>
      <x:c r="C39" s="47" t="str">
        <x:f>IF('Contract Review'!F39&lt;&gt;"",'Contract Review'!F39,'Contract Review'!E39)</x:f>
        <x:v>Source Context + Criteria Context -&gt; new Result Context</x:v>
      </x:c>
      <x:c r="D39" s="49" t="str">
        <x:f>IF('Contract Review'!H39&lt;&gt;"",'Contract Review'!H39,'Contract Review'!G39)&amp;IF('Contract Review'!J39&lt;&gt;""," · Boundary: "&amp;'Contract Review'!J39,"")</x:f>
        <x:v>Review Source against Criteria and create a derived Result while leaving Source unchanged.</x:v>
      </x:c>
      <x:c r="E39" s="53" t="str">
        <x:f>IF('Contract Review'!L39&lt;&gt;"",'Contract Review'!L39,"— draft needed —")</x:f>
        <x:v>— draft needed —</x:v>
      </x:c>
    </x:row>
    <x:row r="40" ht="68" customHeight="1">
      <x:c r="A40" s="75" t="str">
        <x:f>'Contract Review'!B40</x:f>
        <x:v>translate</x:v>
      </x:c>
      <x:c r="B40" s="85" t="str">
        <x:f>'Contract Review'!D40</x:f>
        <x:v>YES — CACHE OR PROVIDER</x:v>
      </x:c>
      <x:c r="C40" s="47" t="str">
        <x:f>IF('Contract Review'!F40&lt;&gt;"",'Contract Review'!F40,'Contract Review'!E40)</x:f>
        <x:v>Context or Memory -&gt; translated view or materialization</x:v>
      </x:c>
      <x:c r="D40" s="49" t="str">
        <x:f>IF('Contract Review'!H40&lt;&gt;"",'Contract Review'!H40,'Contract Review'!G40)&amp;IF('Contract Review'!J40&lt;&gt;""," · Boundary: "&amp;'Contract Review'!J40,"")</x:f>
        <x:v>Show and save a reusable translation view; materialize it only through an explicit route.</x:v>
      </x:c>
      <x:c r="E40" s="53" t="str">
        <x:f>IF('Contract Review'!L40&lt;&gt;"",'Contract Review'!L40,"— draft needed —")</x:f>
        <x:v>— draft needed —</x:v>
      </x:c>
    </x:row>
    <x:row r="41" ht="68" customHeight="1">
      <x:c r="A41" s="75" t="str">
        <x:f>'Contract Review'!B41</x:f>
        <x:v>merge</x:v>
      </x:c>
      <x:c r="B41" s="85" t="str">
        <x:f>'Contract Review'!D41</x:f>
        <x:v>NO</x:v>
      </x:c>
      <x:c r="C41" s="47" t="str">
        <x:f>IF('Contract Review'!F41&lt;&gt;"",'Contract Review'!F41,'Contract Review'!E41)</x:f>
        <x:v>DIRECT · Source direct items → current Target Context
RECURSIVE · Source subtree → matching relative paths in the current Target subtree</x:v>
      </x:c>
      <x:c r="D41" s="49" t="str">
        <x:f>IF('Contract Review'!H41&lt;&gt;"",'Contract Review'!H41,'Contract Review'!G41)&amp;IF('Contract Review'!J41&lt;&gt;""," · Boundary: "&amp;'Contract Review'!J41,"")</x:f>
        <x:v>Adds a Source item only when its stored identity is absent from the Target. · Boundary: Existing Target items remain unchanged. Items already present by identity are not added again; Source edits, deletions, and content conflicts are not resolved.</x:v>
      </x:c>
      <x:c r="E41" s="53" t="str">
        <x:f>IF('Contract Review'!L41&lt;&gt;"",'Contract Review'!L41,"— draft needed —")</x:f>
        <x:v>— draft needed —</x:v>
      </x:c>
    </x:row>
    <x:row r="42" ht="68" customHeight="1">
      <x:c r="A42" s="75" t="str">
        <x:f>'Contract Review'!B42</x:f>
        <x:v>log</x:v>
      </x:c>
      <x:c r="B42" s="85" t="str">
        <x:f>'Contract Review'!D42</x:f>
        <x:v>DEPENDS ON FORM</x:v>
      </x:c>
      <x:c r="C42" s="47" t="str">
        <x:f>IF('Contract Review'!F42&lt;&gt;"",'Contract Review'!F42,'Contract Review'!E42)</x:f>
        <x:v>Recorded history or query -&gt; history report</x:v>
      </x:c>
      <x:c r="D42" s="49" t="str">
        <x:f>IF('Contract Review'!H42&lt;&gt;"",'Contract Review'!H42,'Contract Review'!G42)&amp;IF('Contract Review'!J42&lt;&gt;""," · Boundary: "&amp;'Contract Review'!J42,"")</x:f>
        <x:v>Browse Context checkpoints, inspect one Memory lineage with --memory, search history, or list Profile command attempts.</x:v>
      </x:c>
      <x:c r="E42" s="53" t="str">
        <x:f>IF('Contract Review'!L42&lt;&gt;"",'Contract Review'!L42,"— draft needed —")</x:f>
        <x:v>— draft needed —</x:v>
      </x:c>
    </x:row>
    <x:row r="43" ht="68" customHeight="1">
      <x:c r="A43" s="75" t="str">
        <x:f>'Contract Review'!B43</x:f>
        <x:v>diff</x:v>
      </x:c>
      <x:c r="B43" s="85" t="str">
        <x:f>'Contract Review'!D43</x:f>
        <x:v>NO</x:v>
      </x:c>
      <x:c r="C43" s="47" t="str">
        <x:f>IF('Contract Review'!F43&lt;&gt;"",'Contract Review'!F43,'Contract Review'!E43)</x:f>
        <x:v>Recorded change -&gt; diff report</x:v>
      </x:c>
      <x:c r="D43" s="49" t="str">
        <x:f>IF('Contract Review'!H43&lt;&gt;"",'Contract Review'!H43,'Contract Review'!G43)&amp;IF('Contract Review'!J43&lt;&gt;""," · Boundary: "&amp;'Contract Review'!J43,"")</x:f>
        <x:v>Inspect recorded Context or Update changes without applying them.</x:v>
      </x:c>
      <x:c r="E43" s="53" t="str">
        <x:f>IF('Contract Review'!L43&lt;&gt;"",'Contract Review'!L43,"— draft needed —")</x:f>
        <x:v>— draft needed —</x:v>
      </x:c>
    </x:row>
    <x:row r="44" ht="68" customHeight="1">
      <x:c r="A44" s="75" t="str">
        <x:f>'Contract Review'!B44</x:f>
        <x:v>checkpoint</x:v>
      </x:c>
      <x:c r="B44" s="85" t="str">
        <x:f>'Contract Review'!D44</x:f>
        <x:v>NO</x:v>
      </x:c>
      <x:c r="C44" s="47" t="str">
        <x:f>IF('Contract Review'!F44&lt;&gt;"",'Contract Review'!F44,'Contract Review'!E44)</x:f>
        <x:v>Context state -&gt; checkpoint</x:v>
      </x:c>
      <x:c r="D44" s="49" t="str">
        <x:f>IF('Contract Review'!H44&lt;&gt;"",'Contract Review'!H44,'Contract Review'!G44)&amp;IF('Contract Review'!J44&lt;&gt;""," · Boundary: "&amp;'Contract Review'!J44,"")</x:f>
        <x:v>Save the current Context as a manual recovery point for Diff or Revert.</x:v>
      </x:c>
      <x:c r="E44" s="53" t="str">
        <x:f>IF('Contract Review'!L44&lt;&gt;"",'Contract Review'!L44,"— draft needed —")</x:f>
        <x:v>— draft needed —</x:v>
      </x:c>
    </x:row>
    <x:row r="45" ht="68" customHeight="1">
      <x:c r="A45" s="75" t="str">
        <x:f>'Contract Review'!B45</x:f>
        <x:v>undo</x:v>
      </x:c>
      <x:c r="B45" s="85" t="str">
        <x:f>'Contract Review'!D45</x:f>
        <x:v>NO</x:v>
      </x:c>
      <x:c r="C45" s="47" t="str">
        <x:f>IF('Contract Review'!F45&lt;&gt;"",'Contract Review'!F45,'Contract Review'!E45)</x:f>
        <x:v>Command history -&gt; reversed Context effects</x:v>
      </x:c>
      <x:c r="D45" s="49" t="str">
        <x:f>IF('Contract Review'!H45&lt;&gt;"",'Contract Review'!H45,'Contract Review'!G45)&amp;IF('Contract Review'!J45&lt;&gt;""," · Boundary: "&amp;'Contract Review'!J45,"")</x:f>
        <x:v>Undo the most recent recorded Context command across its affected Contexts.</x:v>
      </x:c>
      <x:c r="E45" s="53" t="str">
        <x:f>IF('Contract Review'!L45&lt;&gt;"",'Contract Review'!L45,"— draft needed —")</x:f>
        <x:v>— draft needed —</x:v>
      </x:c>
    </x:row>
    <x:row r="46" ht="68" customHeight="1">
      <x:c r="A46" s="75" t="str">
        <x:f>'Contract Review'!B46</x:f>
        <x:v>redo</x:v>
      </x:c>
      <x:c r="B46" s="85" t="str">
        <x:f>'Contract Review'!D46</x:f>
        <x:v>NO</x:v>
      </x:c>
      <x:c r="C46" s="47" t="str">
        <x:f>IF('Contract Review'!F46&lt;&gt;"",'Contract Review'!F46,'Contract Review'!E46)</x:f>
        <x:v>Undo history -&gt; restored command effects</x:v>
      </x:c>
      <x:c r="D46" s="49" t="str">
        <x:f>IF('Contract Review'!H46&lt;&gt;"",'Contract Review'!H46,'Contract Review'!G46)&amp;IF('Contract Review'!J46&lt;&gt;""," · Boundary: "&amp;'Contract Review'!J46,"")</x:f>
        <x:v>Redo the most recently undone recorded Context command.</x:v>
      </x:c>
      <x:c r="E46" s="53" t="str">
        <x:f>IF('Contract Review'!L46&lt;&gt;"",'Contract Review'!L46,"— draft needed —")</x:f>
        <x:v>— draft needed —</x:v>
      </x:c>
    </x:row>
    <x:row r="47" ht="68" customHeight="1">
      <x:c r="A47" s="75" t="str">
        <x:f>'Contract Review'!B47</x:f>
        <x:v>revert</x:v>
      </x:c>
      <x:c r="B47" s="85" t="str">
        <x:f>'Contract Review'!D47</x:f>
        <x:v>DEPENDS ON FORM</x:v>
      </x:c>
      <x:c r="C47" s="47" t="str">
        <x:f>IF('Contract Review'!F47&lt;&gt;"",'Contract Review'!F47,'Contract Review'!E47)</x:f>
        <x:v>Checkpoint -&gt; restored Context state</x:v>
      </x:c>
      <x:c r="D47" s="49" t="str">
        <x:f>IF('Contract Review'!H47&lt;&gt;"",'Contract Review'!H47,'Contract Review'!G47)&amp;IF('Contract Review'!J47&lt;&gt;""," · Boundary: "&amp;'Contract Review'!J47,"")</x:f>
        <x:v>Select a checkpoint and review restoration of one local Context.</x:v>
      </x:c>
      <x:c r="E47" s="53" t="str">
        <x:f>IF('Contract Review'!L47&lt;&gt;"",'Contract Review'!L47,"— draft needed —")</x:f>
        <x:v>— draft needed —</x:v>
      </x:c>
    </x:row>
    <x:row r="48" ht="68" customHeight="1">
      <x:c r="A48" s="75" t="str">
        <x:f>'Contract Review'!B48</x:f>
        <x:v>ground</x:v>
      </x:c>
      <x:c r="B48" s="85" t="str">
        <x:f>'Contract Review'!D48</x:f>
        <x:v>YES — CACHE OR PROVIDER</x:v>
      </x:c>
      <x:c r="C48" s="47" t="str">
        <x:f>IF('Contract Review'!F48&lt;&gt;"",'Contract Review'!F48,'Contract Review'!E48)</x:f>
        <x:v>Dialogue + evidence -&gt; reviewed Ground</x:v>
      </x:c>
      <x:c r="D48" s="49" t="str">
        <x:f>IF('Contract Review'!H48&lt;&gt;"",'Contract Review'!H48,'Contract Review'!G48)&amp;IF('Contract Review'!J48&lt;&gt;""," · Boundary: "&amp;'Contract Review'!J48,"")</x:f>
        <x:v>Create or continue a reviewed Goal-Rules-Memories Ground workbench.</x:v>
      </x:c>
      <x:c r="E48" s="53" t="str">
        <x:f>IF('Contract Review'!L48&lt;&gt;"",'Contract Review'!L48,"— draft needed —")</x:f>
        <x:v>— draft needed —</x:v>
      </x:c>
    </x:row>
    <x:row r="49" ht="68" customHeight="1">
      <x:c r="A49" s="75" t="str">
        <x:f>'Contract Review'!B49</x:f>
        <x:v>init-study</x:v>
      </x:c>
      <x:c r="B49" s="85" t="str">
        <x:f>'Contract Review'!D49</x:f>
        <x:v>NO</x:v>
      </x:c>
      <x:c r="C49" s="47" t="str">
        <x:f>IF('Contract Review'!F49&lt;&gt;"",'Contract Review'!F49,'Contract Review'!E49)</x:f>
        <x:v>Study baseline -&gt; isolated Study Profiles</x:v>
      </x:c>
      <x:c r="D49" s="49" t="str">
        <x:f>IF('Contract Review'!H49&lt;&gt;"",'Contract Review'!H49,'Contract Review'!G49)&amp;IF('Contract Review'!J49&lt;&gt;""," · Boundary: "&amp;'Contract Review'!J49,"")</x:f>
        <x:v>Copy one Study baseline into an isolated participant/authority Profile pair.</x:v>
      </x:c>
      <x:c r="E49" s="53" t="str">
        <x:f>IF('Contract Review'!L49&lt;&gt;"",'Contract Review'!L49,"— draft needed —")</x:f>
        <x:v>— draft needed —</x:v>
      </x:c>
    </x:row>
    <x:row r="50" ht="68" customHeight="1">
      <x:c r="A50" s="75" t="str">
        <x:f>'Contract Review'!B50</x:f>
        <x:v>eval</x:v>
      </x:c>
      <x:c r="B50" s="85" t="str">
        <x:f>'Contract Review'!D50</x:f>
        <x:v>DEPENDS ON FORM</x:v>
      </x:c>
      <x:c r="C50" s="47" t="str">
        <x:f>IF('Contract Review'!F50&lt;&gt;"",'Contract Review'!F50,'Contract Review'!E50)</x:f>
        <x:v>Evaluation fixtures -&gt; campaign results</x:v>
      </x:c>
      <x:c r="D50" s="49" t="str">
        <x:f>IF('Contract Review'!H50&lt;&gt;"",'Contract Review'!H50,'Contract Review'!G50)&amp;IF('Contract Review'!J50&lt;&gt;""," · Boundary: "&amp;'Contract Review'!J50,"")</x:f>
        <x:v>Run and inspect staged semantic evaluation campaigns.</x:v>
      </x:c>
      <x:c r="E50" s="53" t="str">
        <x:f>IF('Contract Review'!L50&lt;&gt;"",'Contract Review'!L50,"— draft needed —")</x:f>
        <x:v>— draft needed —</x:v>
      </x:c>
    </x:row>
    <x:row r="51" ht="68" customHeight="1">
      <x:c r="A51" s="75" t="str">
        <x:f>'Contract Review'!B51</x:f>
        <x:v>profile</x:v>
      </x:c>
      <x:c r="B51" s="85" t="str">
        <x:f>'Contract Review'!D51</x:f>
        <x:v>NO</x:v>
      </x:c>
      <x:c r="C51" s="47" t="str">
        <x:f>IF('Contract Review'!F51&lt;&gt;"",'Contract Review'!F51,'Contract Review'!E51)</x:f>
        <x:v>Profile registry &lt;-&gt; Profile administration</x:v>
      </x:c>
      <x:c r="D51" s="49" t="str">
        <x:f>IF('Contract Review'!H51&lt;&gt;"",'Contract Review'!H51,'Contract Review'!G51)&amp;IF('Contract Review'!J51&lt;&gt;""," · Boundary: "&amp;'Contract Review'!J51,"")</x:f>
        <x:v>Enter the interactive Profile selector, or manage complete local MemoryStore Profiles.</x:v>
      </x:c>
      <x:c r="E51" s="53" t="str">
        <x:f>IF('Contract Review'!L51&lt;&gt;"",'Contract Review'!L51,"— draft needed —")</x:f>
        <x:v>— draft needed —</x:v>
      </x:c>
    </x:row>
    <x:row r="52" ht="68" customHeight="1">
      <x:c r="A52" s="75" t="str">
        <x:f>'Contract Review'!B52</x:f>
        <x:v>rename</x:v>
      </x:c>
      <x:c r="B52" s="85" t="str">
        <x:f>'Contract Review'!D52</x:f>
        <x:v>NO</x:v>
      </x:c>
      <x:c r="C52" s="47" t="str">
        <x:f>IF('Contract Review'!F52&lt;&gt;"",'Contract Review'!F52,'Contract Review'!E52)</x:f>
        <x:v>Managed Profile name -&gt; new Profile name</x:v>
      </x:c>
      <x:c r="D52" s="49" t="str">
        <x:f>IF('Contract Review'!H52&lt;&gt;"",'Contract Review'!H52,'Contract Review'!G52)&amp;IF('Contract Review'!J52&lt;&gt;""," · Boundary: "&amp;'Contract Review'!J52,"")</x:f>
        <x:v>Rename the current or an explicit managed Profile without moving or rewriting its store; mem profile rename is the explicit equivalent.</x:v>
      </x:c>
      <x:c r="E52" s="53" t="str">
        <x:f>IF('Contract Review'!L52&lt;&gt;"",'Contract Review'!L52,"— draft needed —")</x:f>
        <x:v>— draft needed —</x:v>
      </x:c>
    </x:row>
    <x:row r="53" ht="68" customHeight="1">
      <x:c r="A53" s="75" t="str">
        <x:f>'Contract Review'!B53</x:f>
        <x:v>share</x:v>
      </x:c>
      <x:c r="B53" s="85" t="str">
        <x:f>'Contract Review'!D53</x:f>
        <x:v>NO</x:v>
      </x:c>
      <x:c r="C53" s="47" t="str">
        <x:f>IF('Contract Review'!F53&lt;&gt;"",'Contract Review'!F53,'Contract Review'!E53)</x:f>
        <x:v>Owned Context -&gt; receiver endpoint</x:v>
      </x:c>
      <x:c r="D53" s="49" t="str">
        <x:f>IF('Contract Review'!H53&lt;&gt;"",'Contract Review'!H53,'Contract Review'!G53)&amp;IF('Contract Review'!J53&lt;&gt;""," · Boundary: "&amp;'Contract Review'!J53,"")</x:f>
        <x:v>Send one ordinary Context through a grant-backed receiver endpoint.</x:v>
      </x:c>
      <x:c r="E53" s="53" t="str">
        <x:f>IF('Contract Review'!L53&lt;&gt;"",'Contract Review'!L53,"— draft needed —")</x:f>
        <x:v>— draft needed —</x:v>
      </x:c>
    </x:row>
    <x:row r="54" ht="68" customHeight="1">
      <x:c r="A54" s="75" t="str">
        <x:f>'Contract Review'!B54</x:f>
        <x:v>lock</x:v>
      </x:c>
      <x:c r="B54" s="85" t="str">
        <x:f>'Contract Review'!D54</x:f>
        <x:v>NO</x:v>
      </x:c>
      <x:c r="C54" s="47" t="str">
        <x:f>IF('Contract Review'!F54&lt;&gt;"",'Contract Review'!F54,'Contract Review'!E54)</x:f>
        <x:v>Resource -&gt; write-protected resource</x:v>
      </x:c>
      <x:c r="D54" s="49" t="str">
        <x:f>IF('Contract Review'!H54&lt;&gt;"",'Contract Review'!H54,'Contract Review'!G54)&amp;IF('Contract Review'!J54&lt;&gt;""," · Boundary: "&amp;'Contract Review'!J54,"")</x:f>
        <x:v>Lock the current Context, a recursive Context set, Memory, or Profile.</x:v>
      </x:c>
      <x:c r="E54" s="53" t="str">
        <x:f>IF('Contract Review'!L54&lt;&gt;"",'Contract Review'!L54,"— draft needed —")</x:f>
        <x:v>— draft needed —</x:v>
      </x:c>
    </x:row>
    <x:row r="55" ht="68" customHeight="1">
      <x:c r="A55" s="75" t="str">
        <x:f>'Contract Review'!B55</x:f>
        <x:v>unlock</x:v>
      </x:c>
      <x:c r="B55" s="85" t="str">
        <x:f>'Contract Review'!D55</x:f>
        <x:v>NO</x:v>
      </x:c>
      <x:c r="C55" s="47" t="str">
        <x:f>IF('Contract Review'!F55&lt;&gt;"",'Contract Review'!F55,'Contract Review'!E55)</x:f>
        <x:v>Protected resource -&gt; writable resource</x:v>
      </x:c>
      <x:c r="D55" s="49" t="str">
        <x:f>IF('Contract Review'!H55&lt;&gt;"",'Contract Review'!H55,'Contract Review'!G55)&amp;IF('Contract Review'!J55&lt;&gt;""," · Boundary: "&amp;'Contract Review'!J55,"")</x:f>
        <x:v>Unlock the current Context, a recursive set, Memory, or Profile.</x:v>
      </x:c>
      <x:c r="E55" s="53" t="str">
        <x:f>IF('Contract Review'!L55&lt;&gt;"",'Contract Review'!L55,"— draft needed —")</x:f>
        <x:v>— draft needed —</x:v>
      </x:c>
    </x:row>
    <x:row r="56" ht="68" customHeight="1">
      <x:c r="A56" s="75" t="str">
        <x:f>'Contract Review'!B56</x:f>
        <x:v>help</x:v>
      </x:c>
      <x:c r="B56" s="85" t="str">
        <x:f>'Contract Review'!D56</x:f>
        <x:v>NO</x:v>
      </x:c>
      <x:c r="C56" s="47" t="str">
        <x:f>IF('Contract Review'!F56&lt;&gt;"",'Contract Review'!F56,'Contract Review'!E56)</x:f>
        <x:v>Operation catalog -&gt; usage guidance</x:v>
      </x:c>
      <x:c r="D56" s="49" t="str">
        <x:f>IF('Contract Review'!H56&lt;&gt;"",'Contract Review'!H56,'Contract Review'!G56)&amp;IF('Contract Review'!J56&lt;&gt;""," · Boundary: "&amp;'Contract Review'!J56,"")</x:f>
        <x:v>Enter the interactive command browser and open syntax help.</x:v>
      </x:c>
      <x:c r="E56" s="53" t="str">
        <x:f>IF('Contract Review'!L56&lt;&gt;"",'Contract Review'!L56,"— draft needed —")</x:f>
        <x:v>— draft needed —</x:v>
      </x:c>
    </x:row>
    <x:row r="57" ht="68" customHeight="1">
      <x:c r="A57" s="75" t="str">
        <x:f>'Contract Review'!B57</x:f>
        <x:v>provider</x:v>
      </x:c>
      <x:c r="B57" s="85" t="str">
        <x:f>'Contract Review'!D57</x:f>
        <x:v>NO</x:v>
      </x:c>
      <x:c r="C57" s="47" t="str">
        <x:f>IF('Contract Review'!F57&lt;&gt;"",'Contract Review'!F57,'Contract Review'!E57)</x:f>
        <x:v>Provider configuration &lt;-&gt; status or probe</x:v>
      </x:c>
      <x:c r="D57" s="49" t="str">
        <x:f>IF('Contract Review'!H57&lt;&gt;"",'Contract Review'!H57,'Contract Review'!G57)&amp;IF('Contract Review'!J57&lt;&gt;""," · Boundary: "&amp;'Contract Review'!J57,"")</x:f>
        <x:v>Select and verify Codex, Ollama, or OpenRouter semantic execution.</x:v>
      </x:c>
      <x:c r="E57" s="53" t="str">
        <x:f>IF('Contract Review'!L57&lt;&gt;"",'Contract Review'!L57,"— draft needed —")</x:f>
        <x:v>— draft needed —</x:v>
      </x:c>
    </x:row>
    <x:row r="58" ht="68" customHeight="1">
      <x:c r="A58" s="75" t="str">
        <x:f>'Contract Review'!B58</x:f>
        <x:v>shell-init</x:v>
      </x:c>
      <x:c r="B58" s="85" t="str">
        <x:f>'Contract Review'!D58</x:f>
        <x:v>NO</x:v>
      </x:c>
      <x:c r="C58" s="47" t="str">
        <x:f>IF('Contract Review'!F58&lt;&gt;"",'Contract Review'!F58,'Contract Review'!E58)</x:f>
        <x:v>Shell name -&gt; integration script</x:v>
      </x:c>
      <x:c r="D58" s="49" t="str">
        <x:f>IF('Contract Review'!H58&lt;&gt;"",'Contract Review'!H58,'Contract Review'!G58)&amp;IF('Contract Review'!J58&lt;&gt;""," · Boundary: "&amp;'Contract Review'!J58,"")</x:f>
        <x:v>Print opt-in shell integration for interactive command prefill.</x:v>
      </x:c>
      <x:c r="E58" s="53" t="str">
        <x:f>IF('Contract Review'!L58&lt;&gt;"",'Contract Review'!L58,"— draft needed —")</x:f>
        <x:v>— draft needed —</x:v>
      </x:c>
    </x:row>
    <x:row r="59" ht="68" customHeight="1">
      <x:c r="A59" s="75" t="str">
        <x:f>'Contract Review'!B59</x:f>
        <x:v>config</x:v>
      </x:c>
      <x:c r="B59" s="85" t="str">
        <x:f>'Contract Review'!D59</x:f>
        <x:v>NO</x:v>
      </x:c>
      <x:c r="C59" s="47" t="str">
        <x:f>IF('Contract Review'!F59&lt;&gt;"",'Contract Review'!F59,'Contract Review'!E59)</x:f>
        <x:v>Configuration key &lt;-&gt; value</x:v>
      </x:c>
      <x:c r="D59" s="49" t="str">
        <x:f>IF('Contract Review'!H59&lt;&gt;"",'Contract Review'!H59,'Contract Review'!G59)&amp;IF('Contract Review'!J59&lt;&gt;""," · Boundary: "&amp;'Contract Review'!J59,"")</x:f>
        <x:v>Read and write global configuration.</x:v>
      </x:c>
      <x:c r="E59" s="53" t="str">
        <x:f>IF('Contract Review'!L59&lt;&gt;"",'Contract Review'!L59,"— draft needed —")</x:f>
        <x:v>— draft needed —</x:v>
      </x:c>
    </x:row>
  </x:sheetData>
  <x:mergeCells>
    <x:mergeCell ref="A1:E1"/>
    <x:mergeCell ref="A2:E2"/>
    <x:mergeCell ref="A3:E3"/>
  </x:mergeCells>
  <x:conditionalFormatting sqref="B5:B59">
    <x:cfRule type="containsText" dxfId="4" priority="1" operator="containsText" text="YES"/>
    <x:cfRule type="containsText" dxfId="5" priority="2" operator="containsText" text="N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9" hidden="0" customWidth="1"/>
    <x:col min="4" max="4" width="25" hidden="0" customWidth="1"/>
    <x:col min="5" max="5" width="39" hidden="0" customWidth="1"/>
    <x:col min="6" max="6" width="48" hidden="0" customWidth="1"/>
    <x:col min="7" max="7" width="48" hidden="0" customWidth="1"/>
    <x:col min="8" max="8" width="50" hidden="0" customWidth="1"/>
    <x:col min="9" max="9" width="44" hidden="0" customWidth="1"/>
    <x:col min="10" max="10" width="55" hidden="0" customWidth="1"/>
    <x:col min="11" max="11" width="40" hidden="0" customWidth="1"/>
    <x:col min="12" max="12" width="52" hidden="0" customWidth="1"/>
    <x:col min="13" max="13" width="65" hidden="0" customWidth="1"/>
    <x:col min="14" max="14" width="18" hidden="0" customWidth="1"/>
    <x:col min="15" max="15" width="43" hidden="0" customWidth="1"/>
    <x:col min="16" max="16" width="39" hidden="0" customWidth="1"/>
    <x:col min="17" max="17" width="28" hidden="0" customWidth="1"/>
  </x:cols>
  <x:sheetData>
    <x:row r="1" ht="32" customHeight="1">
      <x:c r="A1" s="3" t="str">
        <x:v>Mem Help · Expanded Contract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Keep structured semantics separate here. Proposed Flow(s) may contain multiple labelled lines. Proposed fields drive the Compact Review 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11" t="str">
        <x:v>Generated from current Help catalog · git a1e0ad15 · Help files have uncommitted changes · 55 operations · 2026-08-15 11:15:04 UTC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23" t="str">
        <x:v>CATEGORY</x:v>
      </x:c>
      <x:c r="B4" s="24" t="str">
        <x:v>NAME</x:v>
      </x:c>
      <x:c r="C4" s="24" t="str">
        <x:v>CURRENT EXECUTION</x:v>
      </x:c>
      <x:c r="D4" s="24" t="str">
        <x:v>LLM DISPLAY</x:v>
      </x:c>
      <x:c r="E4" s="24" t="str">
        <x:v>CURRENT FLOW</x:v>
      </x:c>
      <x:c r="F4" s="24" t="str">
        <x:v>PROPOSED FLOW(S)</x:v>
      </x:c>
      <x:c r="G4" s="24" t="str">
        <x:v>CURRENT SUMMARY</x:v>
      </x:c>
      <x:c r="H4" s="24" t="str">
        <x:v>PROPOSED EXPLANATION</x:v>
      </x:c>
      <x:c r="I4" s="24" t="str">
        <x:v>CURRENT EFFECT</x:v>
      </x:c>
      <x:c r="J4" s="24" t="str">
        <x:v>PROPOSED BOUNDARY</x:v>
      </x:c>
      <x:c r="K4" s="24" t="str">
        <x:v>CURRENT RANGE</x:v>
      </x:c>
      <x:c r="L4" s="24" t="str">
        <x:v>PROPOSED BEST FOR</x:v>
      </x:c>
      <x:c r="M4" s="24" t="str">
        <x:v>FORMS</x:v>
      </x:c>
      <x:c r="N4" s="24" t="str">
        <x:v>DECISION</x:v>
      </x:c>
      <x:c r="O4" s="24" t="str">
        <x:v>REVIEW NOTES</x:v>
      </x:c>
      <x:c r="P4" s="24" t="str">
        <x:v>SOURCE</x:v>
      </x:c>
      <x:c r="Q4" s="25" t="str">
        <x:v>COMPLETENESS</x:v>
      </x:c>
    </x:row>
    <x:row r="5" ht="76" customHeight="1">
      <x:c r="A5" s="34" t="str">
        <x:f>'Catalog Snapshot'!A5</x:f>
        <x:v>CONTEXTS</x:v>
      </x:c>
      <x:c r="B5" s="34" t="str">
        <x:f>'Catalog Snapshot'!B5</x:f>
        <x:v>status</x:v>
      </x:c>
      <x:c r="C5" s="34" t="str">
        <x:f>'Catalog Snapshot'!E5</x:f>
        <x:v>DETERMINISTIC</x:v>
      </x:c>
      <x:c r="D5" s="34" t="str">
        <x:f>IF(C5="DETERMINISTIC","NO",IF(C5="SEMANTIC","YES — CACHE OR PROVIDER","DEPENDS ON FORM"))</x:f>
        <x:v>NO</x:v>
      </x:c>
      <x:c r="E5" s="34" t="str">
        <x:f>'Catalog Snapshot'!D5</x:f>
        <x:v>Current Context -&gt; status report</x:v>
      </x:c>
      <x:c r="F5" s="46" t="str"/>
      <x:c r="G5" s="34" t="str">
        <x:f>'Catalog Snapshot'!C5</x:f>
        <x:v>Show current Context counts, recent Memories, and checkpoints.</x:v>
      </x:c>
      <x:c r="H5" s="48" t="str"/>
      <x:c r="I5" s="34" t="str">
        <x:f>'Catalog Snapshot'!F5</x:f>
        <x:v>Read-only</x:v>
      </x:c>
      <x:c r="J5" s="50" t="str"/>
      <x:c r="K5" s="34" t="str">
        <x:f>'Catalog Snapshot'!G5</x:f>
        <x:v>Current exact Context</x:v>
      </x:c>
      <x:c r="L5" s="52" t="str"/>
      <x:c r="M5" s="34" t="str">
        <x:f>'Catalog Snapshot'!H5</x:f>
        <x:v>mem status (detailed current-Context status)
mem status --short (one-line status)
mem status --branch (include Profile and Context lineage)</x:v>
      </x:c>
      <x:c r="N5" s="54" t="str">
        <x:v>Not reviewed</x:v>
      </x:c>
      <x:c r="O5" s="54" t="str"/>
      <x:c r="P5" s="34" t="str">
        <x:f>'Catalog Snapshot'!I5</x:f>
        <x:v>memcommit/help_catalog/catalog.py</x:v>
      </x:c>
      <x:c r="Q5" s="34" t="str">
        <x:f>IF(AND(H5&lt;&gt;"",J5&lt;&gt;"",L5&lt;&gt;""),"READY FOR WORDING REVIEW","NEEDS DRAFT")</x:f>
        <x:v>NEEDS DRAFT</x:v>
      </x:c>
    </x:row>
    <x:row r="6" ht="76" customHeight="1">
      <x:c r="A6" s="35" t="str">
        <x:f>'Catalog Snapshot'!A6</x:f>
        <x:v>CONTEXTS</x:v>
      </x:c>
      <x:c r="B6" s="35" t="str">
        <x:f>'Catalog Snapshot'!B6</x:f>
        <x:v>pwd</x:v>
      </x:c>
      <x:c r="C6" s="35" t="str">
        <x:f>'Catalog Snapshot'!E6</x:f>
        <x:v>DETERMINISTIC</x:v>
      </x:c>
      <x:c r="D6" s="35" t="str">
        <x:f>IF(C6="DETERMINISTIC","NO",IF(C6="SEMANTIC","YES — CACHE OR PROVIDER","DEPENDS ON FORM"))</x:f>
        <x:v>NO</x:v>
      </x:c>
      <x:c r="E6" s="35" t="str">
        <x:f>'Catalog Snapshot'!D6</x:f>
        <x:v>Current Context pointer -&gt; canonical name</x:v>
      </x:c>
      <x:c r="F6" s="47" t="str"/>
      <x:c r="G6" s="35" t="str">
        <x:f>'Catalog Snapshot'!C6</x:f>
        <x:v>Print the current canonical Context name without loading its contents.</x:v>
      </x:c>
      <x:c r="H6" s="49" t="str"/>
      <x:c r="I6" s="35" t="str">
        <x:f>'Catalog Snapshot'!F6</x:f>
        <x:v>Read-only; Context content is not loaded</x:v>
      </x:c>
      <x:c r="J6" s="51" t="str"/>
      <x:c r="K6" s="35" t="str">
        <x:f>'Catalog Snapshot'!G6</x:f>
      </x:c>
      <x:c r="L6" s="53" t="str"/>
      <x:c r="M6" s="35" t="str">
        <x:f>'Catalog Snapshot'!H6</x:f>
        <x:v>mem pwd (print the current canonical Context name)</x:v>
      </x:c>
      <x:c r="N6" s="55" t="str">
        <x:v>Not reviewed</x:v>
      </x:c>
      <x:c r="O6" s="55" t="str"/>
      <x:c r="P6" s="35" t="str">
        <x:f>'Catalog Snapshot'!I6</x:f>
        <x:v>memcommit/help_catalog/catalog.py</x:v>
      </x:c>
      <x:c r="Q6" s="35" t="str">
        <x:f>IF(AND(H6&lt;&gt;"",J6&lt;&gt;"",L6&lt;&gt;""),"READY FOR WORDING REVIEW","NEEDS DRAFT")</x:f>
        <x:v>NEEDS DRAFT</x:v>
      </x:c>
    </x:row>
    <x:row r="7" ht="76" customHeight="1">
      <x:c r="A7" s="35" t="str">
        <x:f>'Catalog Snapshot'!A7</x:f>
        <x:v>CONTEXTS</x:v>
      </x:c>
      <x:c r="B7" s="35" t="str">
        <x:f>'Catalog Snapshot'!B7</x:f>
        <x:v>contexts</x:v>
      </x:c>
      <x:c r="C7" s="35" t="str">
        <x:f>'Catalog Snapshot'!E7</x:f>
        <x:v>DETERMINISTIC</x:v>
      </x:c>
      <x:c r="D7" s="35" t="str">
        <x:f>IF(C7="DETERMINISTIC","NO",IF(C7="SEMANTIC","YES — CACHE OR PROVIDER","DEPENDS ON FORM"))</x:f>
        <x:v>NO</x:v>
      </x:c>
      <x:c r="E7" s="35" t="str">
        <x:f>'Catalog Snapshot'!D7</x:f>
        <x:v>Profile access -&gt; readable Context catalog</x:v>
      </x:c>
      <x:c r="F7" s="47" t="str"/>
      <x:c r="G7" s="35" t="str">
        <x:f>'Catalog Snapshot'!C7</x:f>
        <x:v>Browse local Contexts and readable cross-Profile Context views without switching.</x:v>
      </x:c>
      <x:c r="H7" s="49" t="str"/>
      <x:c r="I7" s="35" t="str">
        <x:f>'Catalog Snapshot'!F7</x:f>
        <x:v>Read-only; current Context is unchanged</x:v>
      </x:c>
      <x:c r="J7" s="51" t="str"/>
      <x:c r="K7" s="35" t="str">
        <x:f>'Catalog Snapshot'!G7</x:f>
        <x:v>All readable Context names</x:v>
      </x:c>
      <x:c r="L7" s="53" t="str"/>
      <x:c r="M7" s="35" t="str">
        <x:f>'Catalog Snapshot'!H7</x:f>
        <x:v>mem contexts (list local Contexts and granted views)</x:v>
      </x:c>
      <x:c r="N7" s="55" t="str">
        <x:v>Not reviewed</x:v>
      </x:c>
      <x:c r="O7" s="55" t="str"/>
      <x:c r="P7" s="35" t="str">
        <x:f>'Catalog Snapshot'!I7</x:f>
        <x:v>memcommit/help_catalog/catalog.py</x:v>
      </x:c>
      <x:c r="Q7" s="35" t="str">
        <x:f>IF(AND(H7&lt;&gt;"",J7&lt;&gt;"",L7&lt;&gt;""),"READY FOR WORDING REVIEW","NEEDS DRAFT")</x:f>
        <x:v>NEEDS DRAFT</x:v>
      </x:c>
    </x:row>
    <x:row r="8" ht="76" customHeight="1">
      <x:c r="A8" s="35" t="str">
        <x:f>'Catalog Snapshot'!A8</x:f>
        <x:v>CONTEXTS</x:v>
      </x:c>
      <x:c r="B8" s="35" t="str">
        <x:f>'Catalog Snapshot'!B8</x:f>
        <x:v>list</x:v>
      </x:c>
      <x:c r="C8" s="35" t="str">
        <x:f>'Catalog Snapshot'!E8</x:f>
        <x:v>DETERMINISTIC</x:v>
      </x:c>
      <x:c r="D8" s="35" t="str">
        <x:f>IF(C8="DETERMINISTIC","NO",IF(C8="SEMANTIC","YES — CACHE OR PROVIDER","DEPENDS ON FORM"))</x:f>
        <x:v>NO</x:v>
      </x:c>
      <x:c r="E8" s="35" t="str">
        <x:f>'Catalog Snapshot'!D8</x:f>
        <x:v>Context -&gt; Context and direct-item listing</x:v>
      </x:c>
      <x:c r="F8" s="47" t="str"/>
      <x:c r="G8" s="35" t="str">
        <x:f>'Catalog Snapshot'!C8</x:f>
        <x:v>Browse child Contexts and direct items; ls is the equivalent compact spelling.</x:v>
      </x:c>
      <x:c r="H8" s="49" t="str"/>
      <x:c r="I8" s="35" t="str">
        <x:f>'Catalog Snapshot'!F8</x:f>
        <x:v>Read-only</x:v>
      </x:c>
      <x:c r="J8" s="51" t="str"/>
      <x:c r="K8" s="35" t="str">
        <x:f>'Catalog Snapshot'!G8</x:f>
        <x:v>One exact Context or lexical descendants</x:v>
      </x:c>
      <x:c r="L8" s="53" t="str"/>
      <x:c r="M8" s="35" t="str">
        <x:f>'Catalog Snapshot'!H8</x:f>
        <x:v>mem list (enter the interactive Context browser in a TTY; print otherwise)
mem list [context] (explicit Context listing)
mem list -r (recursive current-Context listing; -R remains an alias)
mem list [context] -R (recursive Context listing)
mem list --copy (copy and stage the current listing)
mem list [context] --copy (copy and stage an explicit listing)
mem list --paste (reopen the frozen copied result)</x:v>
      </x:c>
      <x:c r="N8" s="55" t="str">
        <x:v>Not reviewed</x:v>
      </x:c>
      <x:c r="O8" s="55" t="str"/>
      <x:c r="P8" s="35" t="str">
        <x:f>'Catalog Snapshot'!I8</x:f>
        <x:v>memcommit/help_catalog/catalog.py</x:v>
      </x:c>
      <x:c r="Q8" s="35" t="str">
        <x:f>IF(AND(H8&lt;&gt;"",J8&lt;&gt;"",L8&lt;&gt;""),"READY FOR WORDING REVIEW","NEEDS DRAFT")</x:f>
        <x:v>NEEDS DRAFT</x:v>
      </x:c>
    </x:row>
    <x:row r="9" ht="76" customHeight="1">
      <x:c r="A9" s="35" t="str">
        <x:f>'Catalog Snapshot'!A9</x:f>
        <x:v>CONTEXTS</x:v>
      </x:c>
      <x:c r="B9" s="35" t="str">
        <x:f>'Catalog Snapshot'!B9</x:f>
        <x:v>show</x:v>
      </x:c>
      <x:c r="C9" s="35" t="str">
        <x:f>'Catalog Snapshot'!E9</x:f>
        <x:v>DETERMINISTIC</x:v>
      </x:c>
      <x:c r="D9" s="35" t="str">
        <x:f>IF(C9="DETERMINISTIC","NO",IF(C9="SEMANTIC","YES — CACHE OR PROVIDER","DEPENDS ON FORM"))</x:f>
        <x:v>NO</x:v>
      </x:c>
      <x:c r="E9" s="35" t="str">
        <x:f>'Catalog Snapshot'!D9</x:f>
        <x:v>Context or direct item -&gt; rendered content</x:v>
      </x:c>
      <x:c r="F9" s="47" t="str"/>
      <x:c r="G9" s="35" t="str">
        <x:f>'Catalog Snapshot'!C9</x:f>
        <x:v>Show a Memory, reference, embedded Context, or the direct contents of a current/explicit Context.</x:v>
      </x:c>
      <x:c r="H9" s="49" t="str"/>
      <x:c r="I9" s="35" t="str">
        <x:f>'Catalog Snapshot'!F9</x:f>
        <x:v>Read-only</x:v>
      </x:c>
      <x:c r="J9" s="51" t="str"/>
      <x:c r="K9" s="35" t="str">
        <x:f>'Catalog Snapshot'!G9</x:f>
        <x:v>One exact Context or direct item</x:v>
      </x:c>
      <x:c r="L9" s="53" t="str"/>
      <x:c r="M9" s="35" t="str">
        <x:f>'Catalog Snapshot'!H9</x:f>
        <x:v>mem show (show the direct contents of the current Context)
mem show [item] (show one direct item)
mem show --context [context] (show an explicit Context's direct contents)
mem show [item] --context [context] (show an item in an explicit Context)</x:v>
      </x:c>
      <x:c r="N9" s="55" t="str">
        <x:v>Not reviewed</x:v>
      </x:c>
      <x:c r="O9" s="55" t="str"/>
      <x:c r="P9" s="35" t="str">
        <x:f>'Catalog Snapshot'!I9</x:f>
        <x:v>memcommit/help_catalog/catalog.py</x:v>
      </x:c>
      <x:c r="Q9" s="35" t="str">
        <x:f>IF(AND(H9&lt;&gt;"",J9&lt;&gt;"",L9&lt;&gt;""),"READY FOR WORDING REVIEW","NEEDS DRAFT")</x:f>
        <x:v>NEEDS DRAFT</x:v>
      </x:c>
    </x:row>
    <x:row r="10" ht="76" customHeight="1">
      <x:c r="A10" s="35" t="str">
        <x:f>'Catalog Snapshot'!A10</x:f>
        <x:v>CONTEXTS</x:v>
      </x:c>
      <x:c r="B10" s="35" t="str">
        <x:f>'Catalog Snapshot'!B10</x:f>
        <x:v>switch</x:v>
      </x:c>
      <x:c r="C10" s="35" t="str">
        <x:f>'Catalog Snapshot'!E10</x:f>
        <x:v>DETERMINISTIC</x:v>
      </x:c>
      <x:c r="D10" s="35" t="str">
        <x:f>IF(C10="DETERMINISTIC","NO",IF(C10="SEMANTIC","YES — CACHE OR PROVIDER","DEPENDS ON FORM"))</x:f>
        <x:v>NO</x:v>
      </x:c>
      <x:c r="E10" s="35" t="str">
        <x:f>'Catalog Snapshot'!D10</x:f>
        <x:v>Context locator -&gt; current Context pointer</x:v>
      </x:c>
      <x:c r="F10" s="47" t="str"/>
      <x:c r="G10" s="35" t="str">
        <x:f>'Catalog Snapshot'!C10</x:f>
        <x:v>Enter the interactive Context picker, or switch to an explicit Context.</x:v>
      </x:c>
      <x:c r="H10" s="49" t="str"/>
      <x:c r="I10" s="35" t="str">
        <x:f>'Catalog Snapshot'!F10</x:f>
        <x:v>Changes only the current Context pointer</x:v>
      </x:c>
      <x:c r="J10" s="51" t="str"/>
      <x:c r="K10" s="35" t="str">
        <x:f>'Catalog Snapshot'!G10</x:f>
        <x:v>One exact existing Context</x:v>
      </x:c>
      <x:c r="L10" s="53" t="str"/>
      <x:c r="M10" s="35" t="str">
        <x:f>'Catalog Snapshot'!H10</x:f>
        <x:v>mem switch (enter the interactive Context picker)
mem switch [context] (explicit Context)</x:v>
      </x:c>
      <x:c r="N10" s="55" t="str">
        <x:v>Not reviewed</x:v>
      </x:c>
      <x:c r="O10" s="55" t="str"/>
      <x:c r="P10" s="35" t="str">
        <x:f>'Catalog Snapshot'!I10</x:f>
        <x:v>memcommit/help_catalog/catalog.py</x:v>
      </x:c>
      <x:c r="Q10" s="35" t="str">
        <x:f>IF(AND(H10&lt;&gt;"",J10&lt;&gt;"",L10&lt;&gt;""),"READY FOR WORDING REVIEW","NEEDS DRAFT")</x:f>
        <x:v>NEEDS DRAFT</x:v>
      </x:c>
    </x:row>
    <x:row r="11" ht="76" customHeight="1">
      <x:c r="A11" s="35" t="str">
        <x:f>'Catalog Snapshot'!A11</x:f>
        <x:v>CONTEXTS</x:v>
      </x:c>
      <x:c r="B11" s="35" t="str">
        <x:f>'Catalog Snapshot'!B11</x:f>
        <x:v>checkout</x:v>
      </x:c>
      <x:c r="C11" s="35" t="str">
        <x:f>'Catalog Snapshot'!E11</x:f>
        <x:v>DETERMINISTIC</x:v>
      </x:c>
      <x:c r="D11" s="35" t="str">
        <x:f>IF(C11="DETERMINISTIC","NO",IF(C11="SEMANTIC","YES — CACHE OR PROVIDER","DEPENDS ON FORM"))</x:f>
        <x:v>NO</x:v>
      </x:c>
      <x:c r="E11" s="35" t="str">
        <x:f>'Catalog Snapshot'!D11</x:f>
        <x:v>Context locator -&gt; current Context or new branch</x:v>
      </x:c>
      <x:c r="F11" s="47" t="str"/>
      <x:c r="G11" s="35" t="str">
        <x:f>'Catalog Snapshot'!C11</x:f>
        <x:v>Switch Contexts using Git-style syntax; with -b, create and switch to a new Context branch.</x:v>
      </x:c>
      <x:c r="H11" s="49" t="str"/>
      <x:c r="I11" s="35" t="str">
        <x:f>'Catalog Snapshot'!F11</x:f>
        <x:v>Switches Context; -b also creates one</x:v>
      </x:c>
      <x:c r="J11" s="51" t="str"/>
      <x:c r="K11" s="35" t="str">
        <x:f>'Catalog Snapshot'!G11</x:f>
        <x:v>Branch Source exact or lexical descendants</x:v>
      </x:c>
      <x:c r="L11" s="53" t="str"/>
      <x:c r="M11" s="35" t="str">
        <x:f>'Catalog Snapshot'!H11</x:f>
        <x:v>mem checkout (enter the Git-style interactive Context picker)
mem checkout [context] (switch using Git-style syntax)
mem checkout -b (choose, create, and switch to a Context branch)
mem checkout -b [new_context] (create and switch to a Context branch)
mem checkout -b [new_context] -r (create and switch to a recursive Context branch)</x:v>
      </x:c>
      <x:c r="N11" s="55" t="str">
        <x:v>Not reviewed</x:v>
      </x:c>
      <x:c r="O11" s="55" t="str"/>
      <x:c r="P11" s="35" t="str">
        <x:f>'Catalog Snapshot'!I11</x:f>
        <x:v>memcommit/help_catalog/catalog.py</x:v>
      </x:c>
      <x:c r="Q11" s="35" t="str">
        <x:f>IF(AND(H11&lt;&gt;"",J11&lt;&gt;"",L11&lt;&gt;""),"READY FOR WORDING REVIEW","NEEDS DRAFT")</x:f>
        <x:v>NEEDS DRAFT</x:v>
      </x:c>
    </x:row>
    <x:row r="12" ht="76" customHeight="1">
      <x:c r="A12" s="35" t="str">
        <x:f>'Catalog Snapshot'!A12</x:f>
        <x:v>CONTEXTS</x:v>
      </x:c>
      <x:c r="B12" s="35" t="str">
        <x:f>'Catalog Snapshot'!B12</x:f>
        <x:v>init</x:v>
      </x:c>
      <x:c r="C12" s="35" t="str">
        <x:f>'Catalog Snapshot'!E12</x:f>
        <x:v>DETERMINISTIC</x:v>
      </x:c>
      <x:c r="D12" s="35" t="str">
        <x:f>IF(C12="DETERMINISTIC","NO",IF(C12="SEMANTIC","YES — CACHE OR PROVIDER","DEPENDS ON FORM"))</x:f>
        <x:v>NO</x:v>
      </x:c>
      <x:c r="E12" s="35" t="str">
        <x:f>'Catalog Snapshot'!D12</x:f>
        <x:v>New Context name -&gt; Context</x:v>
      </x:c>
      <x:c r="F12" s="47" t="str"/>
      <x:c r="G12" s="35" t="str">
        <x:f>'Catalog Snapshot'!C12</x:f>
        <x:v>Create a named Context, optionally ensure its parents, and switch to it.</x:v>
      </x:c>
      <x:c r="H12" s="49" t="str"/>
      <x:c r="I12" s="35" t="str">
        <x:f>'Catalog Snapshot'!F12</x:f>
        <x:v>Creates a Context and switches to it</x:v>
      </x:c>
      <x:c r="J12" s="51" t="str"/>
      <x:c r="K12" s="35" t="str">
        <x:f>'Catalog Snapshot'!G12</x:f>
        <x:v>One fresh exact name; optional lexical parents</x:v>
      </x:c>
      <x:c r="L12" s="53" t="str"/>
      <x:c r="M12" s="35" t="str">
        <x:f>'Catalog Snapshot'!H12</x:f>
        <x:v>mem init (edit a suggested fresh Context name, create, and switch)
mem init [context] (create and switch to one Context)
mem init --parents (edit a suggested name and ensure its hierarchy)
mem init [context] --parents (ensure its lexical hierarchy and switch)</x:v>
      </x:c>
      <x:c r="N12" s="55" t="str">
        <x:v>Not reviewed</x:v>
      </x:c>
      <x:c r="O12" s="55" t="str"/>
      <x:c r="P12" s="35" t="str">
        <x:f>'Catalog Snapshot'!I12</x:f>
        <x:v>memcommit/help_catalog/catalog.py</x:v>
      </x:c>
      <x:c r="Q12" s="35" t="str">
        <x:f>IF(AND(H12&lt;&gt;"",J12&lt;&gt;"",L12&lt;&gt;""),"READY FOR WORDING REVIEW","NEEDS DRAFT")</x:f>
        <x:v>NEEDS DRAFT</x:v>
      </x:c>
    </x:row>
    <x:row r="13" ht="76" customHeight="1">
      <x:c r="A13" s="35" t="str">
        <x:f>'Catalog Snapshot'!A13</x:f>
        <x:v>CONTEXTS</x:v>
      </x:c>
      <x:c r="B13" s="35" t="str">
        <x:f>'Catalog Snapshot'!B13</x:f>
        <x:v>branch</x:v>
      </x:c>
      <x:c r="C13" s="35" t="str">
        <x:f>'Catalog Snapshot'!E13</x:f>
        <x:v>DETERMINISTIC</x:v>
      </x:c>
      <x:c r="D13" s="35" t="str">
        <x:f>IF(C13="DETERMINISTIC","NO",IF(C13="SEMANTIC","YES — CACHE OR PROVIDER","DEPENDS ON FORM"))</x:f>
        <x:v>NO</x:v>
      </x:c>
      <x:c r="E13" s="35" t="str">
        <x:f>'Catalog Snapshot'!D13</x:f>
        <x:v>Context -&gt; new Context branch</x:v>
      </x:c>
      <x:c r="F13" s="47" t="str"/>
      <x:c r="G13" s="35" t="str">
        <x:f>'Catalog Snapshot'!C13</x:f>
        <x:v>Copy a Context or subtree into a new branch and switch to it.</x:v>
      </x:c>
      <x:c r="H13" s="49" t="str"/>
      <x:c r="I13" s="35" t="str">
        <x:f>'Catalog Snapshot'!F13</x:f>
        <x:v>Creates a Context and switches to it</x:v>
      </x:c>
      <x:c r="J13" s="51" t="str"/>
      <x:c r="K13" s="35" t="str">
        <x:f>'Catalog Snapshot'!G13</x:f>
        <x:v>Source exact or lexical descendants</x:v>
      </x:c>
      <x:c r="L13" s="53" t="str"/>
      <x:c r="M13" s="35" t="str">
        <x:f>'Catalog Snapshot'!H13</x:f>
        <x:v>mem branch (choose a local Source, parent location, and fresh target)
mem branch [new_context] (branch the current Context and switch)
mem branch [new_context] -r (branch the current Context subtree)</x:v>
      </x:c>
      <x:c r="N13" s="55" t="str">
        <x:v>Not reviewed</x:v>
      </x:c>
      <x:c r="O13" s="55" t="str"/>
      <x:c r="P13" s="35" t="str">
        <x:f>'Catalog Snapshot'!I13</x:f>
        <x:v>memcommit/help_catalog/catalog.py</x:v>
      </x:c>
      <x:c r="Q13" s="35" t="str">
        <x:f>IF(AND(H13&lt;&gt;"",J13&lt;&gt;"",L13&lt;&gt;""),"READY FOR WORDING REVIEW","NEEDS DRAFT")</x:f>
        <x:v>NEEDS DRAFT</x:v>
      </x:c>
    </x:row>
    <x:row r="14" ht="76" customHeight="1">
      <x:c r="A14" s="35" t="str">
        <x:f>'Catalog Snapshot'!A14</x:f>
        <x:v>CONTEXTS</x:v>
      </x:c>
      <x:c r="B14" s="35" t="str">
        <x:f>'Catalog Snapshot'!B14</x:f>
        <x:v>import</x:v>
      </x:c>
      <x:c r="C14" s="35" t="str">
        <x:f>'Catalog Snapshot'!E14</x:f>
        <x:v>DETERMINISTIC</x:v>
      </x:c>
      <x:c r="D14" s="35" t="str">
        <x:f>IF(C14="DETERMINISTIC","NO",IF(C14="SEMANTIC","YES — CACHE OR PROVIDER","DEPENDS ON FORM"))</x:f>
        <x:v>NO</x:v>
      </x:c>
      <x:c r="E14" s="35" t="str">
        <x:f>'Catalog Snapshot'!D14</x:f>
        <x:v>External resource -&gt; local owned copy</x:v>
      </x:c>
      <x:c r="F14" s="47" t="str"/>
      <x:c r="G14" s="35" t="str">
        <x:f>'Catalog Snapshot'!C14</x:f>
        <x:v>Import a clean-baseline Profile, Context tree, or Memory by value while preserving resource identity.</x:v>
      </x:c>
      <x:c r="H14" s="49" t="str"/>
      <x:c r="I14" s="35" t="str">
        <x:f>'Catalog Snapshot'!F14</x:f>
        <x:v>Creates or changes local owned resources</x:v>
      </x:c>
      <x:c r="J14" s="51" t="str"/>
      <x:c r="K14" s="35" t="str">
        <x:f>'Catalog Snapshot'!G14</x:f>
        <x:v>Profile, exact Context, subtree, or one Memory</x:v>
      </x:c>
      <x:c r="L14" s="53" t="str"/>
      <x:c r="M14" s="35" t="str">
        <x:f>'Catalog Snapshot'!H14</x:f>
        <x:v>mem import (choose a non-active source and import Profile, Context, or Memory)
mem import profile [profile_name] --from [store] (clean baseline from an external store)
mem import profile [profile_name] --from-profile [source_profile] (clean baseline from a registered Profile)
mem import context [source_context] --from-profile [source_profile] (one Context root)
mem import context [source_context] --from-profile [source_profile] --as [new_root] (renamed Context root)
mem import context [source_context] --from-profile [source_profile] -r (Context tree)
mem import memory [memory] --from-profile [source_profile] --context [source_context] (into current Context)
mem import memory [memory] --from-profile [source_profile] --context [source_context] --into [target_context]
mem import [profile_name] --from [store] (legacy clean-baseline Profile spelling)</x:v>
      </x:c>
      <x:c r="N14" s="55" t="str">
        <x:v>Not reviewed</x:v>
      </x:c>
      <x:c r="O14" s="55" t="str"/>
      <x:c r="P14" s="35" t="str">
        <x:f>'Catalog Snapshot'!I14</x:f>
        <x:v>memcommit/help_catalog/catalog.py</x:v>
      </x:c>
      <x:c r="Q14" s="35" t="str">
        <x:f>IF(AND(H14&lt;&gt;"",J14&lt;&gt;"",L14&lt;&gt;""),"READY FOR WORDING REVIEW","NEEDS DRAFT")</x:f>
        <x:v>NEEDS DRAFT</x:v>
      </x:c>
    </x:row>
    <x:row r="15" ht="76" customHeight="1">
      <x:c r="A15" s="35" t="str">
        <x:f>'Catalog Snapshot'!A15</x:f>
        <x:v>CONTEXTS</x:v>
      </x:c>
      <x:c r="B15" s="35" t="str">
        <x:f>'Catalog Snapshot'!B15</x:f>
        <x:v>embed</x:v>
      </x:c>
      <x:c r="C15" s="35" t="str">
        <x:f>'Catalog Snapshot'!E15</x:f>
        <x:v>DETERMINISTIC</x:v>
      </x:c>
      <x:c r="D15" s="35" t="str">
        <x:f>IF(C15="DETERMINISTIC","NO",IF(C15="SEMANTIC","YES — CACHE OR PROVIDER","DEPENDS ON FORM"))</x:f>
        <x:v>NO</x:v>
      </x:c>
      <x:c r="E15" s="35" t="str">
        <x:f>'Catalog Snapshot'!D15</x:f>
        <x:v>Child Context -&gt; parent Context placement</x:v>
      </x:c>
      <x:c r="F15" s="47" t="str"/>
      <x:c r="G15" s="35" t="str">
        <x:f>'Catalog Snapshot'!C15</x:f>
        <x:v>Place a Child Context inside a target while retaining its identity and ownership.</x:v>
      </x:c>
      <x:c r="H15" s="49" t="str"/>
      <x:c r="I15" s="35" t="str">
        <x:f>'Catalog Snapshot'!F15</x:f>
        <x:v>Changes target structure; Child identity is retained</x:v>
      </x:c>
      <x:c r="J15" s="51" t="str"/>
      <x:c r="K15" s="35" t="str">
        <x:f>'Catalog Snapshot'!G15</x:f>
        <x:v>One Child and one exact target</x:v>
      </x:c>
      <x:c r="L15" s="53" t="str"/>
      <x:c r="M15" s="35" t="str">
        <x:f>'Catalog Snapshot'!H15</x:f>
        <x:v>mem embed (choose Child, target, and insertion gap interactively)
mem embed [child_context] --into [target_context] (append)
mem embed [child_context] --into [target_context] --before [item]
mem embed [child_context] --into [target_context] --after [item]</x:v>
      </x:c>
      <x:c r="N15" s="55" t="str">
        <x:v>Not reviewed</x:v>
      </x:c>
      <x:c r="O15" s="55" t="str"/>
      <x:c r="P15" s="35" t="str">
        <x:f>'Catalog Snapshot'!I15</x:f>
        <x:v>memcommit/help_catalog/catalog.py</x:v>
      </x:c>
      <x:c r="Q15" s="35" t="str">
        <x:f>IF(AND(H15&lt;&gt;"",J15&lt;&gt;"",L15&lt;&gt;""),"READY FOR WORDING REVIEW","NEEDS DRAFT")</x:f>
        <x:v>NEEDS DRAFT</x:v>
      </x:c>
    </x:row>
    <x:row r="16" ht="76" customHeight="1">
      <x:c r="A16" s="35" t="str">
        <x:f>'Catalog Snapshot'!A16</x:f>
        <x:v>MEMORIES</x:v>
      </x:c>
      <x:c r="B16" s="35" t="str">
        <x:f>'Catalog Snapshot'!B16</x:f>
        <x:v>add</x:v>
      </x:c>
      <x:c r="C16" s="35" t="str">
        <x:f>'Catalog Snapshot'!E16</x:f>
        <x:v>DETERMINISTIC</x:v>
      </x:c>
      <x:c r="D16" s="35" t="str">
        <x:f>IF(C16="DETERMINISTIC","NO",IF(C16="SEMANTIC","YES — CACHE OR PROVIDER","DEPENDS ON FORM"))</x:f>
        <x:v>NO</x:v>
      </x:c>
      <x:c r="E16" s="35" t="str">
        <x:f>'Catalog Snapshot'!D16</x:f>
        <x:v>Text or file -&gt; Context Memories</x:v>
      </x:c>
      <x:c r="F16" s="47" t="str"/>
      <x:c r="G16" s="35" t="str">
        <x:f>'Catalog Snapshot'!C16</x:f>
        <x:v>Add one or more Memories to the current or explicit Context.</x:v>
      </x:c>
      <x:c r="H16" s="49" t="str"/>
      <x:c r="I16" s="35" t="str">
        <x:f>'Catalog Snapshot'!F16</x:f>
        <x:v>Changes the selected Context</x:v>
      </x:c>
      <x:c r="J16" s="51" t="str"/>
      <x:c r="K16" s="35" t="str">
        <x:f>'Catalog Snapshot'!G16</x:f>
        <x:v>One exact target Context</x:v>
      </x:c>
      <x:c r="L16" s="53" t="str"/>
      <x:c r="M16" s="35" t="str">
        <x:f>'Catalog Snapshot'!H16</x:f>
        <x:v>mem add "[memory]" (add one Memory to the current Context)
mem add (open the interactive multi-Memory editor)
mem add --memory "[memory]" --memory "[memory]" (add an explicit batch)
mem add --input [file] (add one Memory per non-empty line)
mem add --paste (paste one or more Memories)
mem add "[memory]" --context [context] (add to an explicit Context)
mem add --input [file] --context [context] (batch-add to an explicit Context)
mem add --paste --context [context] (paste into an explicit Context)</x:v>
      </x:c>
      <x:c r="N16" s="55" t="str">
        <x:v>Not reviewed</x:v>
      </x:c>
      <x:c r="O16" s="55" t="str"/>
      <x:c r="P16" s="35" t="str">
        <x:f>'Catalog Snapshot'!I16</x:f>
        <x:v>memcommit/help_catalog/catalog.py</x:v>
      </x:c>
      <x:c r="Q16" s="35" t="str">
        <x:f>IF(AND(H16&lt;&gt;"",J16&lt;&gt;"",L16&lt;&gt;""),"READY FOR WORDING REVIEW","NEEDS DRAFT")</x:f>
        <x:v>NEEDS DRAFT</x:v>
      </x:c>
    </x:row>
    <x:row r="17" ht="76" customHeight="1">
      <x:c r="A17" s="35" t="str">
        <x:f>'Catalog Snapshot'!A17</x:f>
        <x:v>MEMORIES</x:v>
      </x:c>
      <x:c r="B17" s="35" t="str">
        <x:f>'Catalog Snapshot'!B17</x:f>
        <x:v>reference</x:v>
      </x:c>
      <x:c r="C17" s="35" t="str">
        <x:f>'Catalog Snapshot'!E17</x:f>
        <x:v>DETERMINISTIC</x:v>
      </x:c>
      <x:c r="D17" s="35" t="str">
        <x:f>IF(C17="DETERMINISTIC","NO",IF(C17="SEMANTIC","YES — CACHE OR PROVIDER","DEPENDS ON FORM"))</x:f>
        <x:v>NO</x:v>
      </x:c>
      <x:c r="E17" s="35" t="str">
        <x:f>'Catalog Snapshot'!D17</x:f>
        <x:v>Source Memory -&gt; Target Context reference</x:v>
      </x:c>
      <x:c r="F17" s="47" t="str"/>
      <x:c r="G17" s="35" t="str">
        <x:f>'Catalog Snapshot'!C17</x:f>
        <x:v>Add a read-only Memory pointer; the Target stores identity metadata rather than copying content.</x:v>
      </x:c>
      <x:c r="H17" s="49" t="str"/>
      <x:c r="I17" s="35" t="str">
        <x:f>'Catalog Snapshot'!F17</x:f>
        <x:v>Adds reference metadata to the Target</x:v>
      </x:c>
      <x:c r="J17" s="51" t="str"/>
      <x:c r="K17" s="35" t="str">
        <x:f>'Catalog Snapshot'!G17</x:f>
        <x:v>One direct Source Memory and one exact Target</x:v>
      </x:c>
      <x:c r="L17" s="53" t="str"/>
      <x:c r="M17" s="35" t="str">
        <x:f>'Catalog Snapshot'!H17</x:f>
        <x:v>mem reference [memory] --from [source_context] (add to current Context)
mem reference [memory] --from [source_context] --into [target_context]</x:v>
      </x:c>
      <x:c r="N17" s="55" t="str">
        <x:v>Not reviewed</x:v>
      </x:c>
      <x:c r="O17" s="55" t="str"/>
      <x:c r="P17" s="35" t="str">
        <x:f>'Catalog Snapshot'!I17</x:f>
        <x:v>memcommit/help_catalog/catalog.py</x:v>
      </x:c>
      <x:c r="Q17" s="35" t="str">
        <x:f>IF(AND(H17&lt;&gt;"",J17&lt;&gt;"",L17&lt;&gt;""),"READY FOR WORDING REVIEW","NEEDS DRAFT")</x:f>
        <x:v>NEEDS DRAFT</x:v>
      </x:c>
    </x:row>
    <x:row r="18" ht="76" customHeight="1">
      <x:c r="A18" s="35" t="str">
        <x:f>'Catalog Snapshot'!A18</x:f>
        <x:v>MEMORIES</x:v>
      </x:c>
      <x:c r="B18" s="35" t="str">
        <x:f>'Catalog Snapshot'!B18</x:f>
        <x:v>edit</x:v>
      </x:c>
      <x:c r="C18" s="35" t="str">
        <x:f>'Catalog Snapshot'!E18</x:f>
        <x:v>DETERMINISTIC</x:v>
      </x:c>
      <x:c r="D18" s="35" t="str">
        <x:f>IF(C18="DETERMINISTIC","NO",IF(C18="SEMANTIC","YES — CACHE OR PROVIDER","DEPENDS ON FORM"))</x:f>
        <x:v>NO</x:v>
      </x:c>
      <x:c r="E18" s="35" t="str">
        <x:f>'Catalog Snapshot'!D18</x:f>
        <x:v>Memory -&gt; replacement Memory content</x:v>
      </x:c>
      <x:c r="F18" s="47" t="str"/>
      <x:c r="G18" s="35" t="str">
        <x:f>'Catalog Snapshot'!C18</x:f>
        <x:v>Replace direct Memory content by UID or prefix in the current or explicit Context.</x:v>
      </x:c>
      <x:c r="H18" s="49" t="str"/>
      <x:c r="I18" s="35" t="str">
        <x:f>'Catalog Snapshot'!F18</x:f>
        <x:v>Changes one direct Memory</x:v>
      </x:c>
      <x:c r="J18" s="51" t="str"/>
      <x:c r="K18" s="35" t="str">
        <x:f>'Catalog Snapshot'!G18</x:f>
        <x:v>One direct Memory in one exact Context</x:v>
      </x:c>
      <x:c r="L18" s="53" t="str"/>
      <x:c r="M18" s="35" t="str">
        <x:f>'Catalog Snapshot'!H18</x:f>
        <x:v>mem edit [memory] "[new_content]" (replace one direct Memory)
mem edit --input [file] (replace Memories from a batch file)
mem edit [memory] "[new_content]" --context [context] (explicit Context)
mem edit --input [file] --context [context] (batch-edit an explicit Context)</x:v>
      </x:c>
      <x:c r="N18" s="55" t="str">
        <x:v>Not reviewed</x:v>
      </x:c>
      <x:c r="O18" s="55" t="str"/>
      <x:c r="P18" s="35" t="str">
        <x:f>'Catalog Snapshot'!I18</x:f>
        <x:v>memcommit/help_catalog/catalog.py</x:v>
      </x:c>
      <x:c r="Q18" s="35" t="str">
        <x:f>IF(AND(H18&lt;&gt;"",J18&lt;&gt;"",L18&lt;&gt;""),"READY FOR WORDING REVIEW","NEEDS DRAFT")</x:f>
        <x:v>NEEDS DRAFT</x:v>
      </x:c>
    </x:row>
    <x:row r="19" ht="76" customHeight="1">
      <x:c r="A19" s="35" t="str">
        <x:f>'Catalog Snapshot'!A19</x:f>
        <x:v>MEMORIES</x:v>
      </x:c>
      <x:c r="B19" s="35" t="str">
        <x:f>'Catalog Snapshot'!B19</x:f>
        <x:v>chunk</x:v>
      </x:c>
      <x:c r="C19" s="35" t="str">
        <x:f>'Catalog Snapshot'!E19</x:f>
        <x:v>DETERMINISTIC</x:v>
      </x:c>
      <x:c r="D19" s="35" t="str">
        <x:f>IF(C19="DETERMINISTIC","NO",IF(C19="SEMANTIC","YES — CACHE OR PROVIDER","DEPENDS ON FORM"))</x:f>
        <x:v>NO</x:v>
      </x:c>
      <x:c r="E19" s="35" t="str">
        <x:f>'Catalog Snapshot'!D19</x:f>
        <x:v>Memory -&gt; ordered Memory chunks</x:v>
      </x:c>
      <x:c r="F19" s="47" t="str"/>
      <x:c r="G19" s="35" t="str">
        <x:f>'Catalog Snapshot'!C19</x:f>
        <x:v>Preview and split one direct Memory by headers, paragraphs, or sentences.</x:v>
      </x:c>
      <x:c r="H19" s="49" t="str"/>
      <x:c r="I19" s="35" t="str">
        <x:f>'Catalog Snapshot'!F19</x:f>
        <x:v>Changes the Source Context after confirmation</x:v>
      </x:c>
      <x:c r="J19" s="51" t="str"/>
      <x:c r="K19" s="35" t="str">
        <x:f>'Catalog Snapshot'!G19</x:f>
        <x:v>One direct Memory</x:v>
      </x:c>
      <x:c r="L19" s="53" t="str"/>
      <x:c r="M19" s="35" t="str">
        <x:f>'Catalog Snapshot'!H19</x:f>
        <x:v>mem chunk [memory] (preview a paragraph split, then confirm)
mem chunk [memory] --method [method] (markdown_headers, paragraphs, or sentences)</x:v>
      </x:c>
      <x:c r="N19" s="55" t="str">
        <x:v>Not reviewed</x:v>
      </x:c>
      <x:c r="O19" s="55" t="str"/>
      <x:c r="P19" s="35" t="str">
        <x:f>'Catalog Snapshot'!I19</x:f>
        <x:v>memcommit/help_catalog/catalog.py</x:v>
      </x:c>
      <x:c r="Q19" s="35" t="str">
        <x:f>IF(AND(H19&lt;&gt;"",J19&lt;&gt;"",L19&lt;&gt;""),"READY FOR WORDING REVIEW","NEEDS DRAFT")</x:f>
        <x:v>NEEDS DRAFT</x:v>
      </x:c>
    </x:row>
    <x:row r="20" ht="76" customHeight="1">
      <x:c r="A20" s="35" t="str">
        <x:f>'Catalog Snapshot'!A20</x:f>
        <x:v>MEMORIES</x:v>
      </x:c>
      <x:c r="B20" s="35" t="str">
        <x:f>'Catalog Snapshot'!B20</x:f>
        <x:v>forget</x:v>
      </x:c>
      <x:c r="C20" s="35" t="str">
        <x:f>'Catalog Snapshot'!E20</x:f>
        <x:v>SEMANTIC</x:v>
      </x:c>
      <x:c r="D20" s="35" t="str">
        <x:f>IF(C20="DETERMINISTIC","NO",IF(C20="SEMANTIC","YES — CACHE OR PROVIDER","DEPENDS ON FORM"))</x:f>
        <x:v>YES — CACHE OR PROVIDER</x:v>
      </x:c>
      <x:c r="E20" s="35" t="str">
        <x:f>'Catalog Snapshot'!D20</x:f>
        <x:v>Context + instruction -&gt; reviewed curation batch</x:v>
      </x:c>
      <x:c r="F20" s="47" t="str"/>
      <x:c r="G20" s="35" t="str">
        <x:f>'Catalog Snapshot'!C20</x:f>
        <x:v>Review keep/edit/delete decisions for one instruction, then apply the accepted batch.</x:v>
      </x:c>
      <x:c r="H20" s="49" t="str"/>
      <x:c r="I20" s="35" t="str">
        <x:f>'Catalog Snapshot'!F20</x:f>
        <x:v>Changes Source only after reviewed acceptance</x:v>
      </x:c>
      <x:c r="J20" s="51" t="str"/>
      <x:c r="K20" s="35" t="str">
        <x:f>'Catalog Snapshot'!G20</x:f>
        <x:v>One exact direct Source frame</x:v>
      </x:c>
      <x:c r="L20" s="53" t="str"/>
      <x:c r="M20" s="35" t="str">
        <x:f>'Catalog Snapshot'!H20</x:f>
        <x:v>mem forget (enter interactive instruction and direct-Source setup)
mem forget "[instruction]" (review and apply selective forgetting)</x:v>
      </x:c>
      <x:c r="N20" s="55" t="str">
        <x:v>Not reviewed</x:v>
      </x:c>
      <x:c r="O20" s="55" t="str"/>
      <x:c r="P20" s="35" t="str">
        <x:f>'Catalog Snapshot'!I20</x:f>
        <x:v>memcommit/help_catalog/catalog.py</x:v>
      </x:c>
      <x:c r="Q20" s="35" t="str">
        <x:f>IF(AND(H20&lt;&gt;"",J20&lt;&gt;"",L20&lt;&gt;""),"READY FOR WORDING REVIEW","NEEDS DRAFT")</x:f>
        <x:v>NEEDS DRAFT</x:v>
      </x:c>
    </x:row>
    <x:row r="21" ht="76" customHeight="1">
      <x:c r="A21" s="35" t="str">
        <x:f>'Catalog Snapshot'!A21</x:f>
        <x:v>MEMORIES</x:v>
      </x:c>
      <x:c r="B21" s="35" t="str">
        <x:f>'Catalog Snapshot'!B21</x:f>
        <x:v>delete</x:v>
      </x:c>
      <x:c r="C21" s="35" t="str">
        <x:f>'Catalog Snapshot'!E21</x:f>
        <x:v>DETERMINISTIC</x:v>
      </x:c>
      <x:c r="D21" s="35" t="str">
        <x:f>IF(C21="DETERMINISTIC","NO",IF(C21="SEMANTIC","YES — CACHE OR PROVIDER","DEPENDS ON FORM"))</x:f>
        <x:v>NO</x:v>
      </x:c>
      <x:c r="E21" s="35" t="str">
        <x:f>'Catalog Snapshot'!D21</x:f>
        <x:v>Context or direct item -&gt; removed</x:v>
      </x:c>
      <x:c r="F21" s="47" t="str"/>
      <x:c r="G21" s="35" t="str">
        <x:f>'Catalog Snapshot'!C21</x:f>
        <x:v>Select a Context or direct item to delete, or name it by locator, name, or UID.</x:v>
      </x:c>
      <x:c r="H21" s="49" t="str"/>
      <x:c r="I21" s="35" t="str">
        <x:f>'Catalog Snapshot'!F21</x:f>
        <x:v>Destructive change after confirmation</x:v>
      </x:c>
      <x:c r="J21" s="51" t="str"/>
      <x:c r="K21" s="35" t="str">
        <x:f>'Catalog Snapshot'!G21</x:f>
        <x:v>One exact Context or direct item</x:v>
      </x:c>
      <x:c r="L21" s="53" t="str"/>
      <x:c r="M21" s="35" t="str">
        <x:f>'Catalog Snapshot'!H21</x:f>
        <x:v>mem delete [item] (delete a Context or current direct item)
mem delete (select a Context or direct item interactively)
mem delete [item] --context [context] (explicit direct-item scope)</x:v>
      </x:c>
      <x:c r="N21" s="55" t="str">
        <x:v>Not reviewed</x:v>
      </x:c>
      <x:c r="O21" s="55" t="str"/>
      <x:c r="P21" s="35" t="str">
        <x:f>'Catalog Snapshot'!I21</x:f>
        <x:v>memcommit/help_catalog/catalog.py</x:v>
      </x:c>
      <x:c r="Q21" s="35" t="str">
        <x:f>IF(AND(H21&lt;&gt;"",J21&lt;&gt;"",L21&lt;&gt;""),"READY FOR WORDING REVIEW","NEEDS DRAFT")</x:f>
        <x:v>NEEDS DRAFT</x:v>
      </x:c>
    </x:row>
    <x:row r="22" ht="76" customHeight="1">
      <x:c r="A22" s="35" t="str">
        <x:f>'Catalog Snapshot'!A22</x:f>
        <x:v>MEMORIES</x:v>
      </x:c>
      <x:c r="B22" s="35" t="str">
        <x:f>'Catalog Snapshot'!B22</x:f>
        <x:v>clear</x:v>
      </x:c>
      <x:c r="C22" s="35" t="str">
        <x:f>'Catalog Snapshot'!E22</x:f>
        <x:v>DETERMINISTIC</x:v>
      </x:c>
      <x:c r="D22" s="35" t="str">
        <x:f>IF(C22="DETERMINISTIC","NO",IF(C22="SEMANTIC","YES — CACHE OR PROVIDER","DEPENDS ON FORM"))</x:f>
        <x:v>NO</x:v>
      </x:c>
      <x:c r="E22" s="35" t="str">
        <x:f>'Catalog Snapshot'!D22</x:f>
        <x:v>Context direct items -&gt; empty Context</x:v>
      </x:c>
      <x:c r="F22" s="47" t="str"/>
      <x:c r="G22" s="35" t="str">
        <x:f>'Catalog Snapshot'!C22</x:f>
        <x:v>Remove all direct items from the current or explicit Context after confirmation.</x:v>
      </x:c>
      <x:c r="H22" s="49" t="str"/>
      <x:c r="I22" s="35" t="str">
        <x:f>'Catalog Snapshot'!F22</x:f>
        <x:v>Destructive Context change after confirmation</x:v>
      </x:c>
      <x:c r="J22" s="51" t="str"/>
      <x:c r="K22" s="35" t="str">
        <x:f>'Catalog Snapshot'!G22</x:f>
        <x:v>One exact Context</x:v>
      </x:c>
      <x:c r="L22" s="53" t="str"/>
      <x:c r="M22" s="35" t="str">
        <x:f>'Catalog Snapshot'!H22</x:f>
        <x:v>mem clear (clear the current Context after confirmation)
mem clear [context] (clear an explicit Context after confirmation)</x:v>
      </x:c>
      <x:c r="N22" s="55" t="str">
        <x:v>Not reviewed</x:v>
      </x:c>
      <x:c r="O22" s="55" t="str"/>
      <x:c r="P22" s="35" t="str">
        <x:f>'Catalog Snapshot'!I22</x:f>
        <x:v>memcommit/help_catalog/catalog.py</x:v>
      </x:c>
      <x:c r="Q22" s="35" t="str">
        <x:f>IF(AND(H22&lt;&gt;"",J22&lt;&gt;"",L22&lt;&gt;""),"READY FOR WORDING REVIEW","NEEDS DRAFT")</x:f>
        <x:v>NEEDS DRAFT</x:v>
      </x:c>
    </x:row>
    <x:row r="23" ht="76" customHeight="1">
      <x:c r="A23" s="35" t="str">
        <x:f>'Catalog Snapshot'!A23</x:f>
        <x:v>SEARCH &amp; EXPLAIN</x:v>
      </x:c>
      <x:c r="B23" s="35" t="str">
        <x:f>'Catalog Snapshot'!B23</x:f>
        <x:v>find</x:v>
      </x:c>
      <x:c r="C23" s="35" t="str">
        <x:f>'Catalog Snapshot'!E23</x:f>
        <x:v>SEMANTIC</x:v>
      </x:c>
      <x:c r="D23" s="35" t="str">
        <x:f>IF(C23="DETERMINISTIC","NO",IF(C23="SEMANTIC","YES — CACHE OR PROVIDER","DEPENDS ON FORM"))</x:f>
        <x:v>YES — CACHE OR PROVIDER</x:v>
      </x:c>
      <x:c r="E23" s="35" t="str">
        <x:f>'Catalog Snapshot'!D23</x:f>
        <x:v>Context set + query -&gt; ranked Memories</x:v>
      </x:c>
      <x:c r="F23" s="47" t="str"/>
      <x:c r="G23" s="35" t="str">
        <x:f>'Catalog Snapshot'!C23</x:f>
        <x:v>Search selected Contexts with explicit lexical-descendant and embedded-Context reach.</x:v>
      </x:c>
      <x:c r="H23" s="49" t="str"/>
      <x:c r="I23" s="35" t="str">
        <x:f>'Catalog Snapshot'!F23</x:f>
        <x:v>Read-only search</x:v>
      </x:c>
      <x:c r="J23" s="51" t="str"/>
      <x:c r="K23" s="35" t="str">
        <x:f>'Catalog Snapshot'!G23</x:f>
        <x:v>Selected roots; lexical and embedded reach are independent</x:v>
      </x:c>
      <x:c r="L23" s="53" t="str"/>
      <x:c r="M23" s="35" t="str">
        <x:f>'Catalog Snapshot'!H23</x:f>
        <x:v>mem find (interactive search, checked COPY/REFERENCE, and Save Location)
mem find "[query]" (direct current Context scope)
mem find -r "[query]" (namespace descendants and embedded Contexts)
mem find "[temporal_query]" (retained history when the query explicitly asks about time)
mem find --context [context] "[query]" (direct explicit Context root)
mem find --context [context1] --context [context2] --descendants "[query]" (multiple roots with lexical descendants)
mem find --context-only --follow-embeds "[query]" (exact lexical roots while following embedded Contexts)
mem find --descendants --exclude-embeds "[query]" (lexical subtrees without embedded traversal)
mem find -d "[query]" (direct preset: context-only plus exclude-embeds)</x:v>
      </x:c>
      <x:c r="N23" s="55" t="str">
        <x:v>Not reviewed</x:v>
      </x:c>
      <x:c r="O23" s="55" t="str"/>
      <x:c r="P23" s="35" t="str">
        <x:f>'Catalog Snapshot'!I23</x:f>
        <x:v>memcommit/help_catalog/catalog.py</x:v>
      </x:c>
      <x:c r="Q23" s="35" t="str">
        <x:f>IF(AND(H23&lt;&gt;"",J23&lt;&gt;"",L23&lt;&gt;""),"READY FOR WORDING REVIEW","NEEDS DRAFT")</x:f>
        <x:v>NEEDS DRAFT</x:v>
      </x:c>
    </x:row>
    <x:row r="24" ht="76" customHeight="1">
      <x:c r="A24" s="35" t="str">
        <x:f>'Catalog Snapshot'!A24</x:f>
        <x:v>SEARCH &amp; EXPLAIN</x:v>
      </x:c>
      <x:c r="B24" s="35" t="str">
        <x:f>'Catalog Snapshot'!B24</x:f>
        <x:v>query</x:v>
      </x:c>
      <x:c r="C24" s="35" t="str">
        <x:f>'Catalog Snapshot'!E24</x:f>
        <x:v>SEMANTIC</x:v>
      </x:c>
      <x:c r="D24" s="35" t="str">
        <x:f>IF(C24="DETERMINISTIC","NO",IF(C24="SEMANTIC","YES — CACHE OR PROVIDER","DEPENDS ON FORM"))</x:f>
        <x:v>YES — CACHE OR PROVIDER</x:v>
      </x:c>
      <x:c r="E24" s="35" t="str">
        <x:f>'Catalog Snapshot'!D24</x:f>
        <x:v>Readable source + question -&gt; answer with references</x:v>
      </x:c>
      <x:c r="F24" s="47" t="str"/>
      <x:c r="G24" s="35" t="str">
        <x:f>'Catalog Snapshot'!C24</x:f>
        <x:v>Ask readable Context knowledge or an authorized concealed query-only view.</x:v>
      </x:c>
      <x:c r="H24" s="49" t="str"/>
      <x:c r="I24" s="35" t="str">
        <x:f>'Catalog Snapshot'!F24</x:f>
        <x:v>No Context content changes; visible transcript may be retained</x:v>
      </x:c>
      <x:c r="J24" s="51" t="str"/>
      <x:c r="K24" s="35" t="str">
        <x:f>'Catalog Snapshot'!G24</x:f>
        <x:v>Exact, descendants, embeds, or authorized query-only view</x:v>
      </x:c>
      <x:c r="L24" s="53" t="str"/>
      <x:c r="M24" s="35" t="str">
        <x:f>'Catalog Snapshot'!H24</x:f>
        <x:v>mem query (open the interactive Question, Source, and saved transcript workbench)
mem query "[question]" (ask the direct current ordinary Context)
mem query -r "[question]" (include descendants and embedded Contexts)
mem query --context [context] "[question]" (ask an explicit ordinary Context)
mem query [query_view] (browse opaque Memory handles)
mem query [query_view] "[question]" (ask a query-only view)
mem query [query_view]#[memory_handle] "[question]" (ask one opaque Memory)
mem query [query_view] "[question]" --language [language] (explicit source language)
mem query [query_view] "[question]" --session [session_name] (retain visible Q/A)
mem query --sessions (list saved query transcripts)
mem query --show-session [session_name] (show one saved transcript)</x:v>
      </x:c>
      <x:c r="N24" s="55" t="str">
        <x:v>Not reviewed</x:v>
      </x:c>
      <x:c r="O24" s="55" t="str"/>
      <x:c r="P24" s="35" t="str">
        <x:f>'Catalog Snapshot'!I24</x:f>
        <x:v>memcommit/help_catalog/catalog.py</x:v>
      </x:c>
      <x:c r="Q24" s="35" t="str">
        <x:f>IF(AND(H24&lt;&gt;"",J24&lt;&gt;"",L24&lt;&gt;""),"READY FOR WORDING REVIEW","NEEDS DRAFT")</x:f>
        <x:v>NEEDS DRAFT</x:v>
      </x:c>
    </x:row>
    <x:row r="25" ht="76" customHeight="1">
      <x:c r="A25" s="35" t="str">
        <x:f>'Catalog Snapshot'!A25</x:f>
        <x:v>SEARCH &amp; EXPLAIN</x:v>
      </x:c>
      <x:c r="B25" s="35" t="str">
        <x:f>'Catalog Snapshot'!B25</x:f>
        <x:v>summarize</x:v>
      </x:c>
      <x:c r="C25" s="35" t="str">
        <x:f>'Catalog Snapshot'!E25</x:f>
        <x:v>SEMANTIC</x:v>
      </x:c>
      <x:c r="D25" s="35" t="str">
        <x:f>IF(C25="DETERMINISTIC","NO",IF(C25="SEMANTIC","YES — CACHE OR PROVIDER","DEPENDS ON FORM"))</x:f>
        <x:v>YES — CACHE OR PROVIDER</x:v>
      </x:c>
      <x:c r="E25" s="35" t="str">
        <x:f>'Catalog Snapshot'!D25</x:f>
        <x:v>Context -&gt; summary</x:v>
      </x:c>
      <x:c r="F25" s="47" t="str"/>
      <x:c r="G25" s="35" t="str">
        <x:f>'Catalog Snapshot'!C25</x:f>
        <x:v>Show what Mem understands from a Context's visible ordinary Memories.</x:v>
      </x:c>
      <x:c r="H25" s="49" t="str"/>
      <x:c r="I25" s="35" t="str">
        <x:f>'Catalog Snapshot'!F25</x:f>
        <x:v>Read-only</x:v>
      </x:c>
      <x:c r="J25" s="51" t="str"/>
      <x:c r="K25" s="35" t="str">
        <x:f>'Catalog Snapshot'!G25</x:f>
        <x:v>Exact Context or descendants plus embedded Contexts</x:v>
      </x:c>
      <x:c r="L25" s="53" t="str"/>
      <x:c r="M25" s="35" t="str">
        <x:f>'Catalog Snapshot'!H25</x:f>
        <x:v>mem summarize (direct summary of the current Context)
mem summarize [context] (direct summary of an explicit Context)
mem summarize -r (recursive summary of the current Context)
mem summarize [context] -r (lexical descendants and embedded Contexts)
mem summarize [context] --copy (copy verified direct understanding as plain text)</x:v>
      </x:c>
      <x:c r="N25" s="55" t="str">
        <x:v>Not reviewed</x:v>
      </x:c>
      <x:c r="O25" s="55" t="str"/>
      <x:c r="P25" s="35" t="str">
        <x:f>'Catalog Snapshot'!I25</x:f>
        <x:v>memcommit/help_catalog/catalog.py</x:v>
      </x:c>
      <x:c r="Q25" s="35" t="str">
        <x:f>IF(AND(H25&lt;&gt;"",J25&lt;&gt;"",L25&lt;&gt;""),"READY FOR WORDING REVIEW","NEEDS DRAFT")</x:f>
        <x:v>NEEDS DRAFT</x:v>
      </x:c>
    </x:row>
    <x:row r="26" ht="76" customHeight="1">
      <x:c r="A26" s="35" t="str">
        <x:f>'Catalog Snapshot'!A26</x:f>
        <x:v>SEARCH &amp; EXPLAIN</x:v>
      </x:c>
      <x:c r="B26" s="35" t="str">
        <x:f>'Catalog Snapshot'!B26</x:f>
        <x:v>trace</x:v>
      </x:c>
      <x:c r="C26" s="35" t="str">
        <x:f>'Catalog Snapshot'!E26</x:f>
        <x:v>DETERMINISTIC</x:v>
      </x:c>
      <x:c r="D26" s="35" t="str">
        <x:f>IF(C26="DETERMINISTIC","NO",IF(C26="SEMANTIC","YES — CACHE OR PROVIDER","DEPENDS ON FORM"))</x:f>
        <x:v>NO</x:v>
      </x:c>
      <x:c r="E26" s="35" t="str">
        <x:f>'Catalog Snapshot'!D26</x:f>
        <x:v>Memory -&gt; retained lineage</x:v>
      </x:c>
      <x:c r="F26" s="47" t="str"/>
      <x:c r="G26" s="35" t="str">
        <x:f>'Catalog Snapshot'!C26</x:f>
        <x:v>Trace one retained Memory through its recorded lineage.</x:v>
      </x:c>
      <x:c r="H26" s="49" t="str"/>
      <x:c r="I26" s="35" t="str">
        <x:f>'Catalog Snapshot'!F26</x:f>
        <x:v>Read-only</x:v>
      </x:c>
      <x:c r="J26" s="51" t="str"/>
      <x:c r="K26" s="35" t="str">
        <x:f>'Catalog Snapshot'!G26</x:f>
        <x:v>One current or historical Memory</x:v>
      </x:c>
      <x:c r="L26" s="53" t="str"/>
      <x:c r="M26" s="35" t="str">
        <x:f>'Catalog Snapshot'!H26</x:f>
        <x:v>mem trace (open Recents or browse local Contexts, then select a Memory)
mem trace [memory] (shorthand for mem log --memory [memory])
mem trace --context [context] (start Memory selection in one local Context)
mem trace [memory] --context [context] (explicit Context and Memory)
mem trace [memory] --plain (print instead of opening History explorer)</x:v>
      </x:c>
      <x:c r="N26" s="55" t="str">
        <x:v>Not reviewed</x:v>
      </x:c>
      <x:c r="O26" s="55" t="str"/>
      <x:c r="P26" s="35" t="str">
        <x:f>'Catalog Snapshot'!I26</x:f>
        <x:v>memcommit/help_catalog/catalog.py</x:v>
      </x:c>
      <x:c r="Q26" s="35" t="str">
        <x:f>IF(AND(H26&lt;&gt;"",J26&lt;&gt;"",L26&lt;&gt;""),"READY FOR WORDING REVIEW","NEEDS DRAFT")</x:f>
        <x:v>NEEDS DRAFT</x:v>
      </x:c>
    </x:row>
    <x:row r="27" ht="76" customHeight="1">
      <x:c r="A27" s="35" t="str">
        <x:f>'Catalog Snapshot'!A27</x:f>
        <x:v>SEARCH &amp; EXPLAIN</x:v>
      </x:c>
      <x:c r="B27" s="35" t="str">
        <x:f>'Catalog Snapshot'!B27</x:f>
        <x:v>rationale</x:v>
      </x:c>
      <x:c r="C27" s="35" t="str">
        <x:f>'Catalog Snapshot'!E27</x:f>
        <x:v>MIXED</x:v>
      </x:c>
      <x:c r="D27" s="35" t="str">
        <x:f>IF(C27="DETERMINISTIC","NO",IF(C27="SEMANTIC","YES — CACHE OR PROVIDER","DEPENDS ON FORM"))</x:f>
        <x:v>DEPENDS ON FORM</x:v>
      </x:c>
      <x:c r="E27" s="35" t="str">
        <x:f>'Catalog Snapshot'!D27</x:f>
        <x:v>Memory provenance -&gt; rationale</x:v>
      </x:c>
      <x:c r="F27" s="47" t="str"/>
      <x:c r="G27" s="35" t="str">
        <x:f>'Catalog Snapshot'!C27</x:f>
        <x:v>Explain one Memory from recorded provenance and, when needed, inference.</x:v>
      </x:c>
      <x:c r="H27" s="49" t="str"/>
      <x:c r="I27" s="35" t="str">
        <x:f>'Catalog Snapshot'!F27</x:f>
        <x:v>Read-only</x:v>
      </x:c>
      <x:c r="J27" s="51" t="str"/>
      <x:c r="K27" s="35" t="str">
        <x:f>'Catalog Snapshot'!G27</x:f>
        <x:v>One current or historical Memory</x:v>
      </x:c>
      <x:c r="L27" s="53" t="str"/>
      <x:c r="M27" s="35" t="str">
        <x:f>'Catalog Snapshot'!H27</x:f>
        <x:v>mem rationale (open Recents or browse readable Contexts, then select a Memory)
mem rationale [memory] (explain one current or historical Memory)
mem rationale --context [context] (start Memory selection in one readable Context)
mem rationale [memory] --context [context] (explicit Context and Memory)
mem rationale [memory] --recorded-only (skip inference and its cache)</x:v>
      </x:c>
      <x:c r="N27" s="55" t="str">
        <x:v>Not reviewed</x:v>
      </x:c>
      <x:c r="O27" s="55" t="str"/>
      <x:c r="P27" s="35" t="str">
        <x:f>'Catalog Snapshot'!I27</x:f>
        <x:v>memcommit/help_catalog/catalog.py</x:v>
      </x:c>
      <x:c r="Q27" s="35" t="str">
        <x:f>IF(AND(H27&lt;&gt;"",J27&lt;&gt;"",L27&lt;&gt;""),"READY FOR WORDING REVIEW","NEEDS DRAFT")</x:f>
        <x:v>NEEDS DRAFT</x:v>
      </x:c>
    </x:row>
    <x:row r="28" ht="76" customHeight="1">
      <x:c r="A28" s="35" t="str">
        <x:f>'Catalog Snapshot'!A28</x:f>
        <x:v>SEARCH &amp; EXPLAIN</x:v>
      </x:c>
      <x:c r="B28" s="35" t="str">
        <x:f>'Catalog Snapshot'!B28</x:f>
        <x:v>find-duplicates</x:v>
      </x:c>
      <x:c r="C28" s="35" t="str">
        <x:f>'Catalog Snapshot'!E28</x:f>
        <x:v>SEMANTIC</x:v>
      </x:c>
      <x:c r="D28" s="35" t="str">
        <x:f>IF(C28="DETERMINISTIC","NO",IF(C28="SEMANTIC","YES — CACHE OR PROVIDER","DEPENDS ON FORM"))</x:f>
        <x:v>YES — CACHE OR PROVIDER</x:v>
      </x:c>
      <x:c r="E28" s="35" t="str">
        <x:f>'Catalog Snapshot'!D28</x:f>
        <x:v>Context Memories -&gt; duplicate report</x:v>
      </x:c>
      <x:c r="F28" s="47" t="str"/>
      <x:c r="G28" s="35" t="str">
        <x:f>'Catalog Snapshot'!C28</x:f>
        <x:v>Report duplicate direct Memories in the current or explicit Context; no Context changes.</x:v>
      </x:c>
      <x:c r="H28" s="49" t="str"/>
      <x:c r="I28" s="35" t="str">
        <x:f>'Catalog Snapshot'!F28</x:f>
        <x:v>No Context content changes</x:v>
      </x:c>
      <x:c r="J28" s="51" t="str"/>
      <x:c r="K28" s="35" t="str">
        <x:f>'Catalog Snapshot'!G28</x:f>
        <x:v>One exact direct Context</x:v>
      </x:c>
      <x:c r="L28" s="53" t="str"/>
      <x:c r="M28" s="35" t="str">
        <x:f>'Catalog Snapshot'!H28</x:f>
        <x:v>mem find-duplicates (current Context; no changes)
mem find-duplicates --context [context] (explicit Context; no changes)</x:v>
      </x:c>
      <x:c r="N28" s="55" t="str">
        <x:v>Not reviewed</x:v>
      </x:c>
      <x:c r="O28" s="55" t="str"/>
      <x:c r="P28" s="35" t="str">
        <x:f>'Catalog Snapshot'!I28</x:f>
        <x:v>memcommit/help_catalog/catalog.py</x:v>
      </x:c>
      <x:c r="Q28" s="35" t="str">
        <x:f>IF(AND(H28&lt;&gt;"",J28&lt;&gt;"",L28&lt;&gt;""),"READY FOR WORDING REVIEW","NEEDS DRAFT")</x:f>
        <x:v>NEEDS DRAFT</x:v>
      </x:c>
    </x:row>
    <x:row r="29" ht="76" customHeight="1">
      <x:c r="A29" s="35" t="str">
        <x:f>'Catalog Snapshot'!A29</x:f>
        <x:v>SEARCH &amp; EXPLAIN</x:v>
      </x:c>
      <x:c r="B29" s="35" t="str">
        <x:f>'Catalog Snapshot'!B29</x:f>
        <x:v>find-ambiguities</x:v>
      </x:c>
      <x:c r="C29" s="35" t="str">
        <x:f>'Catalog Snapshot'!E29</x:f>
        <x:v>SEMANTIC</x:v>
      </x:c>
      <x:c r="D29" s="35" t="str">
        <x:f>IF(C29="DETERMINISTIC","NO",IF(C29="SEMANTIC","YES — CACHE OR PROVIDER","DEPENDS ON FORM"))</x:f>
        <x:v>YES — CACHE OR PROVIDER</x:v>
      </x:c>
      <x:c r="E29" s="35" t="str">
        <x:f>'Catalog Snapshot'!D29</x:f>
        <x:v>Context Memories -&gt; ambiguity report</x:v>
      </x:c>
      <x:c r="F29" s="47" t="str"/>
      <x:c r="G29" s="35" t="str">
        <x:f>'Catalog Snapshot'!C29</x:f>
        <x:v>Report ambiguous direct Memories in the current or explicit Context; no Context changes.</x:v>
      </x:c>
      <x:c r="H29" s="49" t="str"/>
      <x:c r="I29" s="35" t="str">
        <x:f>'Catalog Snapshot'!F29</x:f>
        <x:v>No Context content changes</x:v>
      </x:c>
      <x:c r="J29" s="51" t="str"/>
      <x:c r="K29" s="35" t="str">
        <x:f>'Catalog Snapshot'!G29</x:f>
        <x:v>One exact direct Context</x:v>
      </x:c>
      <x:c r="L29" s="53" t="str"/>
      <x:c r="M29" s="35" t="str">
        <x:f>'Catalog Snapshot'!H29</x:f>
        <x:v>mem find-ambiguities (current Context; no changes)
mem find-ambiguities --context [context] (explicit Context; no changes)</x:v>
      </x:c>
      <x:c r="N29" s="55" t="str">
        <x:v>Not reviewed</x:v>
      </x:c>
      <x:c r="O29" s="55" t="str"/>
      <x:c r="P29" s="35" t="str">
        <x:f>'Catalog Snapshot'!I29</x:f>
        <x:v>memcommit/help_catalog/catalog.py</x:v>
      </x:c>
      <x:c r="Q29" s="35" t="str">
        <x:f>IF(AND(H29&lt;&gt;"",J29&lt;&gt;"",L29&lt;&gt;""),"READY FOR WORDING REVIEW","NEEDS DRAFT")</x:f>
        <x:v>NEEDS DRAFT</x:v>
      </x:c>
    </x:row>
    <x:row r="30" ht="76" customHeight="1">
      <x:c r="A30" s="35" t="str">
        <x:f>'Catalog Snapshot'!A30</x:f>
        <x:v>SEARCH &amp; EXPLAIN</x:v>
      </x:c>
      <x:c r="B30" s="35" t="str">
        <x:f>'Catalog Snapshot'!B30</x:f>
        <x:v>find-conflicts</x:v>
      </x:c>
      <x:c r="C30" s="35" t="str">
        <x:f>'Catalog Snapshot'!E30</x:f>
        <x:v>SEMANTIC</x:v>
      </x:c>
      <x:c r="D30" s="35" t="str">
        <x:f>IF(C30="DETERMINISTIC","NO",IF(C30="SEMANTIC","YES — CACHE OR PROVIDER","DEPENDS ON FORM"))</x:f>
        <x:v>YES — CACHE OR PROVIDER</x:v>
      </x:c>
      <x:c r="E30" s="35" t="str">
        <x:f>'Catalog Snapshot'!D30</x:f>
        <x:v>Context Memories -&gt; conflict report</x:v>
      </x:c>
      <x:c r="F30" s="47" t="str"/>
      <x:c r="G30" s="35" t="str">
        <x:f>'Catalog Snapshot'!C30</x:f>
        <x:v>Report conflicting direct Memory pairs in the current or explicit Context; no Context changes.</x:v>
      </x:c>
      <x:c r="H30" s="49" t="str"/>
      <x:c r="I30" s="35" t="str">
        <x:f>'Catalog Snapshot'!F30</x:f>
        <x:v>No Context content changes</x:v>
      </x:c>
      <x:c r="J30" s="51" t="str"/>
      <x:c r="K30" s="35" t="str">
        <x:f>'Catalog Snapshot'!G30</x:f>
        <x:v>One exact direct Context</x:v>
      </x:c>
      <x:c r="L30" s="53" t="str"/>
      <x:c r="M30" s="35" t="str">
        <x:f>'Catalog Snapshot'!H30</x:f>
        <x:v>mem find-conflicts (current Context; no changes)
mem find-conflicts --context [context] (explicit Context; no changes)</x:v>
      </x:c>
      <x:c r="N30" s="55" t="str">
        <x:v>Not reviewed</x:v>
      </x:c>
      <x:c r="O30" s="55" t="str"/>
      <x:c r="P30" s="35" t="str">
        <x:f>'Catalog Snapshot'!I30</x:f>
        <x:v>memcommit/help_catalog/catalog.py</x:v>
      </x:c>
      <x:c r="Q30" s="35" t="str">
        <x:f>IF(AND(H30&lt;&gt;"",J30&lt;&gt;"",L30&lt;&gt;""),"READY FOR WORDING REVIEW","NEEDS DRAFT")</x:f>
        <x:v>NEEDS DRAFT</x:v>
      </x:c>
    </x:row>
    <x:row r="31" ht="76" customHeight="1">
      <x:c r="A31" s="35" t="str">
        <x:f>'Catalog Snapshot'!A31</x:f>
        <x:v>ANALYZE &amp; TRANSFORM</x:v>
      </x:c>
      <x:c r="B31" s="35" t="str">
        <x:f>'Catalog Snapshot'!B31</x:f>
        <x:v>audit</x:v>
      </x:c>
      <x:c r="C31" s="35" t="str">
        <x:f>'Catalog Snapshot'!E31</x:f>
        <x:v>SEMANTIC</x:v>
      </x:c>
      <x:c r="D31" s="35" t="str">
        <x:f>IF(C31="DETERMINISTIC","NO",IF(C31="SEMANTIC","YES — CACHE OR PROVIDER","DEPENDS ON FORM"))</x:f>
        <x:v>YES — CACHE OR PROVIDER</x:v>
      </x:c>
      <x:c r="E31" s="35" t="str">
        <x:f>'Catalog Snapshot'!D31</x:f>
        <x:v>Context -&gt; saved quality report</x:v>
      </x:c>
      <x:c r="F31" s="47" t="str"/>
      <x:c r="G31" s="35" t="str">
        <x:f>'Catalog Snapshot'!C31</x:f>
        <x:v>Run Duplicate, Ambiguity, and Conflict checks and review one saved report.</x:v>
      </x:c>
      <x:c r="H31" s="49" t="str"/>
      <x:c r="I31" s="35" t="str">
        <x:f>'Catalog Snapshot'!F31</x:f>
        <x:v>No Context content changes</x:v>
      </x:c>
      <x:c r="J31" s="51" t="str"/>
      <x:c r="K31" s="35" t="str">
        <x:f>'Catalog Snapshot'!G31</x:f>
        <x:v>One exact direct Context</x:v>
      </x:c>
      <x:c r="L31" s="53" t="str"/>
      <x:c r="M31" s="35" t="str">
        <x:f>'Catalog Snapshot'!H31</x:f>
        <x:v>mem audit (choose one Context, run Duplicate + Ambiguity + Conflict, save, and review)
mem audit --context [context] (run and save all three finders for one exact Context)
mem audit --context [context] --snapshot (save and print the combined report)</x:v>
      </x:c>
      <x:c r="N31" s="55" t="str">
        <x:v>Not reviewed</x:v>
      </x:c>
      <x:c r="O31" s="55" t="str"/>
      <x:c r="P31" s="35" t="str">
        <x:f>'Catalog Snapshot'!I31</x:f>
        <x:v>memcommit/help_catalog/catalog.py</x:v>
      </x:c>
      <x:c r="Q31" s="35" t="str">
        <x:f>IF(AND(H31&lt;&gt;"",J31&lt;&gt;"",L31&lt;&gt;""),"READY FOR WORDING REVIEW","NEEDS DRAFT")</x:f>
        <x:v>NEEDS DRAFT</x:v>
      </x:c>
    </x:row>
    <x:row r="32" ht="76" customHeight="1">
      <x:c r="A32" s="35" t="str">
        <x:f>'Catalog Snapshot'!A32</x:f>
        <x:v>ANALYZE &amp; TRANSFORM</x:v>
      </x:c>
      <x:c r="B32" s="35" t="str">
        <x:f>'Catalog Snapshot'!B32</x:f>
        <x:v>atomize</x:v>
      </x:c>
      <x:c r="C32" s="35" t="str">
        <x:f>'Catalog Snapshot'!E32</x:f>
        <x:v>SEMANTIC</x:v>
      </x:c>
      <x:c r="D32" s="35" t="str">
        <x:f>IF(C32="DETERMINISTIC","NO",IF(C32="SEMANTIC","YES — CACHE OR PROVIDER","DEPENDS ON FORM"))</x:f>
        <x:v>YES — CACHE OR PROVIDER</x:v>
      </x:c>
      <x:c r="E32" s="35" t="str">
        <x:f>'Catalog Snapshot'!D32</x:f>
        <x:v>Context Memories -&gt; reviewed atomic Memories</x:v>
      </x:c>
      <x:c r="F32" s="47" t="str"/>
      <x:c r="G32" s="35" t="str">
        <x:f>'Catalog Snapshot'!C32</x:f>
        <x:v>Split composite Memories for review; --evaluate performs an issue-scoped directional meld.</x:v>
      </x:c>
      <x:c r="H32" s="49" t="str"/>
      <x:c r="I32" s="35" t="str">
        <x:f>'Catalog Snapshot'!F32</x:f>
        <x:v>Changes material only after explicit acceptance</x:v>
      </x:c>
      <x:c r="J32" s="51" t="str"/>
      <x:c r="K32" s="35" t="str">
        <x:f>'Catalog Snapshot'!G32</x:f>
        <x:v>One selected Context frame</x:v>
      </x:c>
      <x:c r="L32" s="53" t="str"/>
      <x:c r="M32" s="35" t="str">
        <x:f>'Catalog Snapshot'!H32</x:f>
        <x:v>mem atomize (enter the current Context's interactive Atomize session)
mem atomize --context [context] (enter that Context's interactive Atomize session)
mem atomize --sessions (enter the interactive Atomize session launcher)
mem atomize --evaluate "[issue]" (directional atomic review)</x:v>
      </x:c>
      <x:c r="N32" s="55" t="str">
        <x:v>Not reviewed</x:v>
      </x:c>
      <x:c r="O32" s="55" t="str"/>
      <x:c r="P32" s="35" t="str">
        <x:f>'Catalog Snapshot'!I32</x:f>
        <x:v>memcommit/help_catalog/catalog.py</x:v>
      </x:c>
      <x:c r="Q32" s="35" t="str">
        <x:f>IF(AND(H32&lt;&gt;"",J32&lt;&gt;"",L32&lt;&gt;""),"READY FOR WORDING REVIEW","NEEDS DRAFT")</x:f>
        <x:v>NEEDS DRAFT</x:v>
      </x:c>
    </x:row>
    <x:row r="33" ht="76" customHeight="1">
      <x:c r="A33" s="35" t="str">
        <x:f>'Catalog Snapshot'!A33</x:f>
        <x:v>ANALYZE &amp; TRANSFORM</x:v>
      </x:c>
      <x:c r="B33" s="35" t="str">
        <x:f>'Catalog Snapshot'!B33</x:f>
        <x:v>distill</x:v>
      </x:c>
      <x:c r="C33" s="35" t="str">
        <x:f>'Catalog Snapshot'!E33</x:f>
        <x:v>SEMANTIC</x:v>
      </x:c>
      <x:c r="D33" s="35" t="str">
        <x:f>IF(C33="DETERMINISTIC","NO",IF(C33="SEMANTIC","YES — CACHE OR PROVIDER","DEPENDS ON FORM"))</x:f>
        <x:v>YES — CACHE OR PROVIDER</x:v>
      </x:c>
      <x:c r="E33" s="35" t="str">
        <x:f>'Catalog Snapshot'!D33</x:f>
        <x:v>Goal? + Source Context -&gt; reviewed Rule Context</x:v>
      </x:c>
      <x:c r="F33" s="47" t="str"/>
      <x:c r="G33" s="35" t="str">
        <x:f>'Catalog Snapshot'!C33</x:f>
        <x:v>Derive evidence-bound reusable Rules from a Context, optionally guided by a Goal.</x:v>
      </x:c>
      <x:c r="H33" s="49" t="str"/>
      <x:c r="I33" s="35" t="str">
        <x:f>'Catalog Snapshot'!F33</x:f>
        <x:v>Source stays unchanged; only explicit Apply creates a new Result</x:v>
      </x:c>
      <x:c r="J33" s="51" t="str"/>
      <x:c r="K33" s="35" t="str">
        <x:f>'Catalog Snapshot'!G33</x:f>
        <x:v>One exact local Source or its readable descendants</x:v>
      </x:c>
      <x:c r="L33" s="53" t="str"/>
      <x:c r="M33" s="35" t="str">
        <x:f>'Catalog Snapshot'!H33</x:f>
        <x:v>mem distill (review Rules distilled from the current Context)
mem distill [context] (review Rules from one explicit Context)
mem distill [context] --goal "[goal]" (guide Rule relevance with a Goal)
mem distill [context] -r (include descendants and embedded Contexts)
mem distill [context] --save-as [result_context] (review without creating the Result)
mem distill [context] --save-as [result_context] --apply (create the exact reviewed Rule Context)</x:v>
      </x:c>
      <x:c r="N33" s="55" t="str">
        <x:v>Not reviewed</x:v>
      </x:c>
      <x:c r="O33" s="55" t="str"/>
      <x:c r="P33" s="35" t="str">
        <x:f>'Catalog Snapshot'!I33</x:f>
        <x:v>memcommit/help_catalog/catalog.py</x:v>
      </x:c>
      <x:c r="Q33" s="35" t="str">
        <x:f>IF(AND(H33&lt;&gt;"",J33&lt;&gt;"",L33&lt;&gt;""),"READY FOR WORDING REVIEW","NEEDS DRAFT")</x:f>
        <x:v>NEEDS DRAFT</x:v>
      </x:c>
    </x:row>
    <x:row r="34" ht="76" customHeight="1">
      <x:c r="A34" s="35" t="str">
        <x:f>'Catalog Snapshot'!A34</x:f>
        <x:v>ANALYZE &amp; TRANSFORM</x:v>
      </x:c>
      <x:c r="B34" s="35" t="str">
        <x:f>'Catalog Snapshot'!B34</x:f>
        <x:v>compare</x:v>
      </x:c>
      <x:c r="C34" s="35" t="str">
        <x:f>'Catalog Snapshot'!E34</x:f>
        <x:v>SEMANTIC</x:v>
      </x:c>
      <x:c r="D34" s="35" t="str">
        <x:f>IF(C34="DETERMINISTIC","NO",IF(C34="SEMANTIC","YES — CACHE OR PROVIDER","DEPENDS ON FORM"))</x:f>
        <x:v>YES — CACHE OR PROVIDER</x:v>
      </x:c>
      <x:c r="E34" s="35" t="str">
        <x:f>'Catalog Snapshot'!D34</x:f>
        <x:v>Context &lt;-&gt; Context -&gt; comparison report</x:v>
      </x:c>
      <x:c r="F34" s="47" t="str"/>
      <x:c r="G34" s="35" t="str">
        <x:f>'Catalog Snapshot'!C34</x:f>
        <x:v>Compare two equal-authority Contexts without changing either one.</x:v>
      </x:c>
      <x:c r="H34" s="49" t="str"/>
      <x:c r="I34" s="35" t="str">
        <x:f>'Catalog Snapshot'!F34</x:f>
        <x:v>No Context content changes</x:v>
      </x:c>
      <x:c r="J34" s="51" t="str"/>
      <x:c r="K34" s="35" t="str">
        <x:f>'Catalog Snapshot'!G34</x:f>
        <x:v>Each side exact or readable descendants</x:v>
      </x:c>
      <x:c r="L34" s="53" t="str"/>
      <x:c r="M34" s="35" t="str">
        <x:f>'Catalog Snapshot'!H34</x:f>
        <x:v>mem compare (enter the interactive Compare session launcher)
mem compare --sessions (enter the interactive Compare session launcher)
mem compare --to [context2] (current Context is context1)
mem compare --from [context1] --to [context2] (explicit Contexts)
mem compare --from [context1] --to [context2] -r (both readable subtrees)
mem compare --from [context1] --to [context2] --reference-descendants --compared-descendants (include each readable subtree)</x:v>
      </x:c>
      <x:c r="N34" s="55" t="str">
        <x:v>Not reviewed</x:v>
      </x:c>
      <x:c r="O34" s="55" t="str"/>
      <x:c r="P34" s="35" t="str">
        <x:f>'Catalog Snapshot'!I34</x:f>
        <x:v>memcommit/help_catalog/catalog.py</x:v>
      </x:c>
      <x:c r="Q34" s="35" t="str">
        <x:f>IF(AND(H34&lt;&gt;"",J34&lt;&gt;"",L34&lt;&gt;""),"READY FOR WORDING REVIEW","NEEDS DRAFT")</x:f>
        <x:v>NEEDS DRAFT</x:v>
      </x:c>
    </x:row>
    <x:row r="35" ht="76" customHeight="1">
      <x:c r="A35" s="35" t="str">
        <x:f>'Catalog Snapshot'!A35</x:f>
        <x:v>ANALYZE &amp; TRANSFORM</x:v>
      </x:c>
      <x:c r="B35" s="35" t="str">
        <x:f>'Catalog Snapshot'!B35</x:f>
        <x:v>impact</x:v>
      </x:c>
      <x:c r="C35" s="35" t="str">
        <x:f>'Catalog Snapshot'!E35</x:f>
        <x:v>MIXED</x:v>
      </x:c>
      <x:c r="D35" s="35" t="str">
        <x:f>IF(C35="DETERMINISTIC","NO",IF(C35="SEMANTIC","YES — CACHE OR PROVIDER","DEPENDS ON FORM"))</x:f>
        <x:v>DEPENDS ON FORM</x:v>
      </x:c>
      <x:c r="E35" s="35" t="str">
        <x:f>'Catalog Snapshot'!D35</x:f>
        <x:v>Operation inputs or session -&gt; impact report</x:v>
      </x:c>
      <x:c r="F35" s="47" t="str"/>
      <x:c r="G35" s="35" t="str">
        <x:f>'Catalog Snapshot'!C35</x:f>
        <x:v>Preview or inspect operation Impact; no Context changes occur before its reviewed Apply handoff.</x:v>
      </x:c>
      <x:c r="H35" s="49" t="str"/>
      <x:c r="I35" s="35" t="str">
        <x:f>'Catalog Snapshot'!F35</x:f>
        <x:v>Impact is read-only; Apply is a separate reviewed handoff</x:v>
      </x:c>
      <x:c r="J35" s="51" t="str"/>
      <x:c r="K35" s="35" t="str">
        <x:f>'Catalog Snapshot'!G35</x:f>
        <x:v>Operation-owned Source and Target ranges</x:v>
      </x:c>
      <x:c r="L35" s="53" t="str"/>
      <x:c r="M35" s="35" t="str">
        <x:f>'Catalog Snapshot'!H35</x:f>
        <x:v>mem impact atomize (preview atomization of the current Context)
mem impact atomize --context [context] (preview atomization of one Context)
mem impact meld (inspect a saved Meld Impact; APPLY? opens its Apply flow)
mem impact meld --session [uid] (inspect an exact saved Meld Impact; APPLY? opens its Apply flow)
mem impact sever (inspect a saved Sever Impact; APPLY? opens its Apply flow)
mem impact sever --session [uid] (inspect an exact saved Sever Impact; APPLY? opens its Apply flow)
mem impact update (inspect the saved Update Impact; APPLY? opens its Apply flow)
mem impact update --session [uid] (inspect the exact saved Update Impact; APPLY? opens its Apply flow)
mem impact --from [source_context] --to [target_context] (directional preview)
mem impact -r --from [source_context] --to [target_context] (recursive endpoints)
mem impact --from [source_context] (current Context is target)
mem impact --to [target_context] (current Context is source)</x:v>
      </x:c>
      <x:c r="N35" s="55" t="str">
        <x:v>Not reviewed</x:v>
      </x:c>
      <x:c r="O35" s="55" t="str"/>
      <x:c r="P35" s="35" t="str">
        <x:f>'Catalog Snapshot'!I35</x:f>
        <x:v>memcommit/help_catalog/catalog.py</x:v>
      </x:c>
      <x:c r="Q35" s="35" t="str">
        <x:f>IF(AND(H35&lt;&gt;"",J35&lt;&gt;"",L35&lt;&gt;""),"READY FOR WORDING REVIEW","NEEDS DRAFT")</x:f>
        <x:v>NEEDS DRAFT</x:v>
      </x:c>
    </x:row>
    <x:row r="36" ht="76" customHeight="1">
      <x:c r="A36" s="35" t="str">
        <x:f>'Catalog Snapshot'!A36</x:f>
        <x:v>ANALYZE &amp; TRANSFORM</x:v>
      </x:c>
      <x:c r="B36" s="35" t="str">
        <x:f>'Catalog Snapshot'!B36</x:f>
        <x:v>review</x:v>
      </x:c>
      <x:c r="C36" s="35" t="str">
        <x:f>'Catalog Snapshot'!E36</x:f>
        <x:v>MIXED</x:v>
      </x:c>
      <x:c r="D36" s="35" t="str">
        <x:f>IF(C36="DETERMINISTIC","NO",IF(C36="SEMANTIC","YES — CACHE OR PROVIDER","DEPENDS ON FORM"))</x:f>
        <x:v>DEPENDS ON FORM</x:v>
      </x:c>
      <x:c r="E36" s="35" t="str">
        <x:f>'Catalog Snapshot'!D36</x:f>
        <x:v>Saved analysis -&gt; review responses</x:v>
      </x:c>
      <x:c r="F36" s="47" t="str"/>
      <x:c r="G36" s="35" t="str">
        <x:f>'Catalog Snapshot'!C36</x:f>
        <x:v>Enter an interactive Review session or stage semantic review responses; never apply Memories.</x:v>
      </x:c>
      <x:c r="H36" s="49" t="str"/>
      <x:c r="I36" s="35" t="str">
        <x:f>'Catalog Snapshot'!F36</x:f>
        <x:v>No Context content changes</x:v>
      </x:c>
      <x:c r="J36" s="51" t="str"/>
      <x:c r="K36" s="35" t="str">
        <x:f>'Catalog Snapshot'!G36</x:f>
        <x:v>One saved operation artifact</x:v>
      </x:c>
      <x:c r="L36" s="53" t="str"/>
      <x:c r="M36" s="35" t="str">
        <x:f>'Catalog Snapshot'!H36</x:f>
        <x:v>mem review (enter the interactive Review session)
mem review audit (open a saved three-finder Audit)
mem review compare (open a saved Compare report)
mem review meld (open a saved Meld report)
mem review sever (open a saved Sever report)
mem review update (open the saved Update report)
mem review [kind] --session [uid] (exact Audit, Compare, Meld, Sever, or Update artifact)
mem review atomize (open the current Context's saved Atomize analysis)
mem review atomize --context [context] (Context-bound Atomize review)
mem review ambiguities (analyze current-Context ambiguities)
mem review ambiguities --context [context] (Context-bound Ambiguity review)</x:v>
      </x:c>
      <x:c r="N36" s="55" t="str">
        <x:v>Not reviewed</x:v>
      </x:c>
      <x:c r="O36" s="55" t="str"/>
      <x:c r="P36" s="35" t="str">
        <x:f>'Catalog Snapshot'!I36</x:f>
        <x:v>memcommit/help_catalog/catalog.py</x:v>
      </x:c>
      <x:c r="Q36" s="35" t="str">
        <x:f>IF(AND(H36&lt;&gt;"",J36&lt;&gt;"",L36&lt;&gt;""),"READY FOR WORDING REVIEW","NEEDS DRAFT")</x:f>
        <x:v>NEEDS DRAFT</x:v>
      </x:c>
    </x:row>
    <x:row r="37" ht="76" customHeight="1">
      <x:c r="A37" s="35" t="str">
        <x:f>'Catalog Snapshot'!A37</x:f>
        <x:v>ANALYZE &amp; TRANSFORM</x:v>
      </x:c>
      <x:c r="B37" s="35" t="str">
        <x:f>'Catalog Snapshot'!B37</x:f>
        <x:v>meld</x:v>
      </x:c>
      <x:c r="C37" s="35" t="str">
        <x:f>'Catalog Snapshot'!E37</x:f>
        <x:v>SEMANTIC</x:v>
      </x:c>
      <x:c r="D37" s="35" t="str">
        <x:f>IF(C37="DETERMINISTIC","NO",IF(C37="SEMANTIC","YES — CACHE OR PROVIDER","DEPENDS ON FORM"))</x:f>
        <x:v>YES — CACHE OR PROVIDER</x:v>
      </x:c>
      <x:c r="E37" s="35" t="str">
        <x:f>'Catalog Snapshot'!D37</x:f>
        <x:v>Context &lt;-&gt; Context or Incoming -&gt; Baseline</x:v>
      </x:c>
      <x:c r="F37" s="47" t="str"/>
      <x:c r="G37" s="35" t="str">
        <x:f>'Catalog Snapshot'!C37</x:f>
        <x:v>Combine two equal-authority Contexts in the current empty Context; --from is normalized to INCOMING --into authoritative BASELINE.</x:v>
      </x:c>
      <x:c r="H37" s="49" t="str"/>
      <x:c r="I37" s="35" t="str">
        <x:f>'Catalog Snapshot'!F37</x:f>
        <x:v>Creates or changes material only after reviewed Apply</x:v>
      </x:c>
      <x:c r="J37" s="51" t="str"/>
      <x:c r="K37" s="35" t="str">
        <x:f>'Catalog Snapshot'!G37</x:f>
        <x:v>Each side exact or readable descendants</x:v>
      </x:c>
      <x:c r="L37" s="53" t="str"/>
      <x:c r="M37" s="35" t="str">
        <x:f>'Catalog Snapshot'!H37</x:f>
        <x:v>mem meld (enter the interactive Meld session launcher)
mem meld --sessions (enter the interactive Meld session launcher)
mem meld [context1] [context2] (symmetric into current empty Context)
mem meld [context1] [context2] --to [result_context] (symmetric new Result)
mem meld [context1] [context2] -r --to [result_context] (both subtrees)
mem meld [context1] [context2] --left-descendants --right-descendants --to [result_context] (symmetric readable subtrees)
mem meld [incoming_context] --into [baseline_context] (directional)
mem meld [incoming_context] --left-descendants --into [baseline_context] --right-descendants (directional selected subtrees with owner-aware baseline writes)
mem meld --into [baseline_context] (current Context is incoming)
mem meld --from [incoming_context] (current Context is baseline)</x:v>
      </x:c>
      <x:c r="N37" s="55" t="str">
        <x:v>Not reviewed</x:v>
      </x:c>
      <x:c r="O37" s="55" t="str"/>
      <x:c r="P37" s="35" t="str">
        <x:f>'Catalog Snapshot'!I37</x:f>
        <x:v>memcommit/help_catalog/catalog.py</x:v>
      </x:c>
      <x:c r="Q37" s="35" t="str">
        <x:f>IF(AND(H37&lt;&gt;"",J37&lt;&gt;"",L37&lt;&gt;""),"READY FOR WORDING REVIEW","NEEDS DRAFT")</x:f>
        <x:v>NEEDS DRAFT</x:v>
      </x:c>
    </x:row>
    <x:row r="38" ht="76" customHeight="1">
      <x:c r="A38" s="35" t="str">
        <x:f>'Catalog Snapshot'!A38</x:f>
        <x:v>ANALYZE &amp; TRANSFORM</x:v>
      </x:c>
      <x:c r="B38" s="35" t="str">
        <x:f>'Catalog Snapshot'!B38</x:f>
        <x:v>update</x:v>
      </x:c>
      <x:c r="C38" s="35" t="str">
        <x:f>'Catalog Snapshot'!E38</x:f>
        <x:v>SEMANTIC</x:v>
      </x:c>
      <x:c r="D38" s="35" t="str">
        <x:f>IF(C38="DETERMINISTIC","NO",IF(C38="SEMANTIC","YES — CACHE OR PROVIDER","DEPENDS ON FORM"))</x:f>
        <x:v>YES — CACHE OR PROVIDER</x:v>
      </x:c>
      <x:c r="E38" s="35" t="str">
        <x:f>'Catalog Snapshot'!D38</x:f>
        <x:v>Source Context -&gt; Target Context</x:v>
      </x:c>
      <x:c r="F38" s="47" t="str"/>
      <x:c r="G38" s="35" t="str">
        <x:f>'Catalog Snapshot'!C38</x:f>
        <x:v>Review a directional plan and apply it to a local target; no shared publication.</x:v>
      </x:c>
      <x:c r="H38" s="49" t="str"/>
      <x:c r="I38" s="35" t="str">
        <x:f>'Catalog Snapshot'!F38</x:f>
        <x:v>Changes local Target only after reviewed Apply</x:v>
      </x:c>
      <x:c r="J38" s="51" t="str"/>
      <x:c r="K38" s="35" t="str">
        <x:f>'Catalog Snapshot'!G38</x:f>
        <x:v>Each endpoint exact or readable descendants</x:v>
      </x:c>
      <x:c r="L38" s="53" t="str"/>
      <x:c r="M38" s="35" t="str">
        <x:f>'Catalog Snapshot'!H38</x:f>
        <x:v>mem update (enter the interactive Update session launcher)
mem update --from [source_context] --to [target_context] (explicit direction)
mem update -r --from [source_context] --to [target_context] (both subtrees)
mem update --from [source_context] --source-descendants --to [target_context] --target-descendants (include both readable subtrees)
mem update --from [source_context] (current Context is target)
mem update --to [target_context] (current Context is source)</x:v>
      </x:c>
      <x:c r="N38" s="55" t="str">
        <x:v>Not reviewed</x:v>
      </x:c>
      <x:c r="O38" s="55" t="str"/>
      <x:c r="P38" s="35" t="str">
        <x:f>'Catalog Snapshot'!I38</x:f>
        <x:v>memcommit/help_catalog/catalog.py</x:v>
      </x:c>
      <x:c r="Q38" s="35" t="str">
        <x:f>IF(AND(H38&lt;&gt;"",J38&lt;&gt;"",L38&lt;&gt;""),"READY FOR WORDING REVIEW","NEEDS DRAFT")</x:f>
        <x:v>NEEDS DRAFT</x:v>
      </x:c>
    </x:row>
    <x:row r="39" ht="76" customHeight="1">
      <x:c r="A39" s="35" t="str">
        <x:f>'Catalog Snapshot'!A39</x:f>
        <x:v>ANALYZE &amp; TRANSFORM</x:v>
      </x:c>
      <x:c r="B39" s="35" t="str">
        <x:f>'Catalog Snapshot'!B39</x:f>
        <x:v>sever</x:v>
      </x:c>
      <x:c r="C39" s="35" t="str">
        <x:f>'Catalog Snapshot'!E39</x:f>
        <x:v>SEMANTIC</x:v>
      </x:c>
      <x:c r="D39" s="35" t="str">
        <x:f>IF(C39="DETERMINISTIC","NO",IF(C39="SEMANTIC","YES — CACHE OR PROVIDER","DEPENDS ON FORM"))</x:f>
        <x:v>YES — CACHE OR PROVIDER</x:v>
      </x:c>
      <x:c r="E39" s="35" t="str">
        <x:f>'Catalog Snapshot'!D39</x:f>
        <x:v>Source Context + Criteria Context -&gt; new Result Context</x:v>
      </x:c>
      <x:c r="F39" s="47" t="str"/>
      <x:c r="G39" s="35" t="str">
        <x:f>'Catalog Snapshot'!C39</x:f>
        <x:v>Review Source against Criteria and create a derived Result while leaving Source unchanged.</x:v>
      </x:c>
      <x:c r="H39" s="49" t="str"/>
      <x:c r="I39" s="35" t="str">
        <x:f>'Catalog Snapshot'!F39</x:f>
        <x:v>Creates reviewed Result; Source remains unchanged</x:v>
      </x:c>
      <x:c r="J39" s="51" t="str"/>
      <x:c r="K39" s="35" t="str">
        <x:f>'Catalog Snapshot'!G39</x:f>
        <x:v>Source exact or descendants; Criteria exact scoped frame</x:v>
      </x:c>
      <x:c r="L39" s="53" t="str"/>
      <x:c r="M39" s="35" t="str">
        <x:f>'Catalog Snapshot'!H39</x:f>
        <x:v>mem sever (enter the interactive Sever session launcher)
mem sever --sessions (enter the interactive Sever session launcher)
mem sever --source [source_context] --criteria [criteria_context] --save-as [result_context]
mem sever -r --source [source_context] --criteria [criteria_context] --save-as [result_context]
mem sever --criteria [criteria_context] --save-as [result_context] (current Context is source)
mem sever --resume [uid] (open an exact saved Sever session)</x:v>
      </x:c>
      <x:c r="N39" s="55" t="str">
        <x:v>Not reviewed</x:v>
      </x:c>
      <x:c r="O39" s="55" t="str"/>
      <x:c r="P39" s="35" t="str">
        <x:f>'Catalog Snapshot'!I39</x:f>
        <x:v>memcommit/help_catalog/catalog.py</x:v>
      </x:c>
      <x:c r="Q39" s="35" t="str">
        <x:f>IF(AND(H39&lt;&gt;"",J39&lt;&gt;"",L39&lt;&gt;""),"READY FOR WORDING REVIEW","NEEDS DRAFT")</x:f>
        <x:v>NEEDS DRAFT</x:v>
      </x:c>
    </x:row>
    <x:row r="40" ht="76" customHeight="1">
      <x:c r="A40" s="35" t="str">
        <x:f>'Catalog Snapshot'!A40</x:f>
        <x:v>ANALYZE &amp; TRANSFORM</x:v>
      </x:c>
      <x:c r="B40" s="35" t="str">
        <x:f>'Catalog Snapshot'!B40</x:f>
        <x:v>translate</x:v>
      </x:c>
      <x:c r="C40" s="35" t="str">
        <x:f>'Catalog Snapshot'!E40</x:f>
        <x:v>SEMANTIC</x:v>
      </x:c>
      <x:c r="D40" s="35" t="str">
        <x:f>IF(C40="DETERMINISTIC","NO",IF(C40="SEMANTIC","YES — CACHE OR PROVIDER","DEPENDS ON FORM"))</x:f>
        <x:v>YES — CACHE OR PROVIDER</x:v>
      </x:c>
      <x:c r="E40" s="35" t="str">
        <x:f>'Catalog Snapshot'!D40</x:f>
        <x:v>Context or Memory -&gt; translated view or materialization</x:v>
      </x:c>
      <x:c r="F40" s="47" t="str"/>
      <x:c r="G40" s="35" t="str">
        <x:f>'Catalog Snapshot'!C40</x:f>
        <x:v>Show and save a reusable translation view; materialize it only through an explicit route.</x:v>
      </x:c>
      <x:c r="H40" s="49" t="str"/>
      <x:c r="I40" s="35" t="str">
        <x:f>'Catalog Snapshot'!F40</x:f>
        <x:v>Source unchanged; explicit routes may create or add material</x:v>
      </x:c>
      <x:c r="J40" s="51" t="str"/>
      <x:c r="K40" s="35" t="str">
        <x:f>'Catalog Snapshot'!G40</x:f>
        <x:v>One exact Context or one direct Memory</x:v>
      </x:c>
      <x:c r="L40" s="53" t="str"/>
      <x:c r="M40" s="35" t="str">
        <x:f>'Catalog Snapshot'!H40</x:f>
        <x:v>mem translate (show/save a default-English view of the current Context)
mem translate [memory] (show/save one default-English Memory view)
mem translate --to [language] (show/save a current-Context view)
mem translate [memory] --to [language] (show/save one Memory view)
mem translate --save-as [result_context] (default-English new Context and switch)
mem translate [memory] --save-as [result_context] (new Context replacing one Memory; switch)
mem translate --to [language] --save-as [result_context] (new translated Context and switch)
mem translate [memory] --to [language] --save-as [result_context] (new Context replacing one Memory; switch)
mem translate --in-place (add default-English sibling Memories)
mem translate [memory] --in-place (add one default-English sibling Memory)
mem translate --to [language] --in-place (add translated sibling Memories)
mem translate [memory] --to [language] --in-place (add one translated sibling Memory)</x:v>
      </x:c>
      <x:c r="N40" s="55" t="str">
        <x:v>Not reviewed</x:v>
      </x:c>
      <x:c r="O40" s="55" t="str"/>
      <x:c r="P40" s="35" t="str">
        <x:f>'Catalog Snapshot'!I40</x:f>
        <x:v>memcommit/help_catalog/catalog.py</x:v>
      </x:c>
      <x:c r="Q40" s="35" t="str">
        <x:f>IF(AND(H40&lt;&gt;"",J40&lt;&gt;"",L40&lt;&gt;""),"READY FOR WORDING REVIEW","NEEDS DRAFT")</x:f>
        <x:v>NEEDS DRAFT</x:v>
      </x:c>
    </x:row>
    <x:row r="41" ht="76" customHeight="1">
      <x:c r="A41" s="35" t="str">
        <x:f>'Catalog Snapshot'!A41</x:f>
        <x:v>ANALYZE &amp; TRANSFORM</x:v>
      </x:c>
      <x:c r="B41" s="35" t="str">
        <x:f>'Catalog Snapshot'!B41</x:f>
        <x:v>merge</x:v>
      </x:c>
      <x:c r="C41" s="35" t="str">
        <x:f>'Catalog Snapshot'!E41</x:f>
        <x:v>DETERMINISTIC</x:v>
      </x:c>
      <x:c r="D41" s="35" t="str">
        <x:f>IF(C41="DETERMINISTIC","NO",IF(C41="SEMANTIC","YES — CACHE OR PROVIDER","DEPENDS ON FORM"))</x:f>
        <x:v>NO</x:v>
      </x:c>
      <x:c r="E41" s="35" t="str">
        <x:f>'Catalog Snapshot'!D41</x:f>
        <x:v>Source Context -&gt; current Target Context</x:v>
      </x:c>
      <x:c r="F41" s="47" t="str">
        <x:v>DIRECT · Source direct items → current Target Context
RECURSIVE · Source subtree → matching relative paths in the current Target subtree</x:v>
      </x:c>
      <x:c r="G41" s="35" t="str">
        <x:f>'Catalog Snapshot'!C41</x:f>
        <x:v>Add UID-new items from an exact Source or path-aligned descendants; no semantic reconciliation.</x:v>
      </x:c>
      <x:c r="H41" s="49" t="str">
        <x:v>Adds a Source item only when its stored identity is absent from the Target.</x:v>
      </x:c>
      <x:c r="I41" s="35" t="str">
        <x:f>'Catalog Snapshot'!F41</x:f>
        <x:v>Changes the Target Context tree directly; Source stays unchanged</x:v>
      </x:c>
      <x:c r="J41" s="51" t="str">
        <x:v>Existing Target items remain unchanged. Items already present by identity are not added again; Source edits, deletions, and content conflicts are not resolved.</x:v>
      </x:c>
      <x:c r="K41" s="35" t="str">
        <x:f>'Catalog Snapshot'!G41</x:f>
        <x:v>Exact roots or matching lexical descendants by complete relative path</x:v>
      </x:c>
      <x:c r="L41" s="53" t="str"/>
      <x:c r="M41" s="35" t="str">
        <x:f>'Catalog Snapshot'!H41</x:f>
        <x:v>mem merge (choose a readable Source and direct or descendant reach in a TTY)
mem merge [source_context] --direct (exact Source root into current Context; default)
mem merge [source_context] --recursive (path-aligned descendants into current Context)</x:v>
      </x:c>
      <x:c r="N41" s="55" t="str">
        <x:v>Not reviewed</x:v>
      </x:c>
      <x:c r="O41" s="55" t="str">
        <x:v>Boundary and plural Flow are seeded from the current design review. Best For intentionally remains open.</x:v>
      </x:c>
      <x:c r="P41" s="35" t="str">
        <x:f>'Catalog Snapshot'!I41</x:f>
        <x:v>memcommit/help_catalog/catalog.py</x:v>
      </x:c>
      <x:c r="Q41" s="35" t="str">
        <x:f>IF(AND(H41&lt;&gt;"",J41&lt;&gt;"",L41&lt;&gt;""),"READY FOR WORDING REVIEW","NEEDS DRAFT")</x:f>
        <x:v>NEEDS DRAFT</x:v>
      </x:c>
    </x:row>
    <x:row r="42" ht="76" customHeight="1">
      <x:c r="A42" s="35" t="str">
        <x:f>'Catalog Snapshot'!A42</x:f>
        <x:v>HISTORY &amp; RECOVERY</x:v>
      </x:c>
      <x:c r="B42" s="35" t="str">
        <x:f>'Catalog Snapshot'!B42</x:f>
        <x:v>log</x:v>
      </x:c>
      <x:c r="C42" s="35" t="str">
        <x:f>'Catalog Snapshot'!E42</x:f>
        <x:v>MIXED</x:v>
      </x:c>
      <x:c r="D42" s="35" t="str">
        <x:f>IF(C42="DETERMINISTIC","NO",IF(C42="SEMANTIC","YES — CACHE OR PROVIDER","DEPENDS ON FORM"))</x:f>
        <x:v>DEPENDS ON FORM</x:v>
      </x:c>
      <x:c r="E42" s="35" t="str">
        <x:f>'Catalog Snapshot'!D42</x:f>
        <x:v>Recorded history or query -&gt; history report</x:v>
      </x:c>
      <x:c r="F42" s="47" t="str"/>
      <x:c r="G42" s="35" t="str">
        <x:f>'Catalog Snapshot'!C42</x:f>
        <x:v>Browse Context checkpoints, inspect one Memory lineage with --memory, search history, or list Profile command attempts.</x:v>
      </x:c>
      <x:c r="H42" s="49" t="str"/>
      <x:c r="I42" s="35" t="str">
        <x:f>'Catalog Snapshot'!F42</x:f>
        <x:v>Read-only</x:v>
      </x:c>
      <x:c r="J42" s="51" t="str"/>
      <x:c r="K42" s="35" t="str">
        <x:f>'Catalog Snapshot'!G42</x:f>
        <x:v>One Context, one Memory lineage, or Profile attempts</x:v>
      </x:c>
      <x:c r="L42" s="53" t="str"/>
      <x:c r="M42" s="35" t="str">
        <x:f>'Catalog Snapshot'!H42</x:f>
        <x:v>mem log (select a Context, then browse its checkpoints in a TTY; print otherwise)
mem log "[query]" (semantic history search)
mem log --memory [memory] (Memory-lineage view; canonical Trace route)
mem log --memory [memory] --context [context] (explicit Context and Memory)
mem log --operations (Profile command attempts)
mem log --actions (current Study Profile action events)</x:v>
      </x:c>
      <x:c r="N42" s="55" t="str">
        <x:v>Not reviewed</x:v>
      </x:c>
      <x:c r="O42" s="55" t="str"/>
      <x:c r="P42" s="35" t="str">
        <x:f>'Catalog Snapshot'!I42</x:f>
        <x:v>memcommit/help_catalog/catalog.py</x:v>
      </x:c>
      <x:c r="Q42" s="35" t="str">
        <x:f>IF(AND(H42&lt;&gt;"",J42&lt;&gt;"",L42&lt;&gt;""),"READY FOR WORDING REVIEW","NEEDS DRAFT")</x:f>
        <x:v>NEEDS DRAFT</x:v>
      </x:c>
    </x:row>
    <x:row r="43" ht="76" customHeight="1">
      <x:c r="A43" s="35" t="str">
        <x:f>'Catalog Snapshot'!A43</x:f>
        <x:v>HISTORY &amp; RECOVERY</x:v>
      </x:c>
      <x:c r="B43" s="35" t="str">
        <x:f>'Catalog Snapshot'!B43</x:f>
        <x:v>diff</x:v>
      </x:c>
      <x:c r="C43" s="35" t="str">
        <x:f>'Catalog Snapshot'!E43</x:f>
        <x:v>DETERMINISTIC</x:v>
      </x:c>
      <x:c r="D43" s="35" t="str">
        <x:f>IF(C43="DETERMINISTIC","NO",IF(C43="SEMANTIC","YES — CACHE OR PROVIDER","DEPENDS ON FORM"))</x:f>
        <x:v>NO</x:v>
      </x:c>
      <x:c r="E43" s="35" t="str">
        <x:f>'Catalog Snapshot'!D43</x:f>
        <x:v>Recorded change -&gt; diff report</x:v>
      </x:c>
      <x:c r="F43" s="47" t="str"/>
      <x:c r="G43" s="35" t="str">
        <x:f>'Catalog Snapshot'!C43</x:f>
        <x:v>Inspect recorded Context or Update changes without applying them.</x:v>
      </x:c>
      <x:c r="H43" s="49" t="str"/>
      <x:c r="I43" s="35" t="str">
        <x:f>'Catalog Snapshot'!F43</x:f>
        <x:v>Read-only</x:v>
      </x:c>
      <x:c r="J43" s="51" t="str"/>
      <x:c r="K43" s="35" t="str">
        <x:f>'Catalog Snapshot'!G43</x:f>
        <x:v>One exact Context or active Update</x:v>
      </x:c>
      <x:c r="L43" s="53" t="str"/>
      <x:c r="M43" s="35" t="str">
        <x:f>'Catalog Snapshot'!H43</x:f>
        <x:v>mem diff (select a Context, then inspect its checkpoints)
mem diff [context] (inspect that Context's checkpoints directly)
mem diff --raw (exact unified diff)
mem diff --stat (summary only)
mem diff --verbose (complete UIDs and source/target fingerprints)</x:v>
      </x:c>
      <x:c r="N43" s="55" t="str">
        <x:v>Not reviewed</x:v>
      </x:c>
      <x:c r="O43" s="55" t="str"/>
      <x:c r="P43" s="35" t="str">
        <x:f>'Catalog Snapshot'!I43</x:f>
        <x:v>memcommit/help_catalog/catalog.py</x:v>
      </x:c>
      <x:c r="Q43" s="35" t="str">
        <x:f>IF(AND(H43&lt;&gt;"",J43&lt;&gt;"",L43&lt;&gt;""),"READY FOR WORDING REVIEW","NEEDS DRAFT")</x:f>
        <x:v>NEEDS DRAFT</x:v>
      </x:c>
    </x:row>
    <x:row r="44" ht="76" customHeight="1">
      <x:c r="A44" s="35" t="str">
        <x:f>'Catalog Snapshot'!A44</x:f>
        <x:v>HISTORY &amp; RECOVERY</x:v>
      </x:c>
      <x:c r="B44" s="35" t="str">
        <x:f>'Catalog Snapshot'!B44</x:f>
        <x:v>checkpoint</x:v>
      </x:c>
      <x:c r="C44" s="35" t="str">
        <x:f>'Catalog Snapshot'!E44</x:f>
        <x:v>DETERMINISTIC</x:v>
      </x:c>
      <x:c r="D44" s="35" t="str">
        <x:f>IF(C44="DETERMINISTIC","NO",IF(C44="SEMANTIC","YES — CACHE OR PROVIDER","DEPENDS ON FORM"))</x:f>
        <x:v>NO</x:v>
      </x:c>
      <x:c r="E44" s="35" t="str">
        <x:f>'Catalog Snapshot'!D44</x:f>
        <x:v>Context state -&gt; checkpoint</x:v>
      </x:c>
      <x:c r="F44" s="47" t="str"/>
      <x:c r="G44" s="35" t="str">
        <x:f>'Catalog Snapshot'!C44</x:f>
        <x:v>Save the current Context as a manual recovery point for Diff or Revert.</x:v>
      </x:c>
      <x:c r="H44" s="49" t="str"/>
      <x:c r="I44" s="35" t="str">
        <x:f>'Catalog Snapshot'!F44</x:f>
        <x:v>Adds recoverable history; content is unchanged</x:v>
      </x:c>
      <x:c r="J44" s="51" t="str"/>
      <x:c r="K44" s="35" t="str">
        <x:f>'Catalog Snapshot'!G44</x:f>
      </x:c>
      <x:c r="L44" s="53" t="str"/>
      <x:c r="M44" s="35" t="str">
        <x:f>'Catalog Snapshot'!H44</x:f>
        <x:v>mem checkpoint (save without a message)
mem checkpoint "[message]" (describe the saved checkpoint)</x:v>
      </x:c>
      <x:c r="N44" s="55" t="str">
        <x:v>Not reviewed</x:v>
      </x:c>
      <x:c r="O44" s="55" t="str"/>
      <x:c r="P44" s="35" t="str">
        <x:f>'Catalog Snapshot'!I44</x:f>
        <x:v>memcommit/help_catalog/catalog.py</x:v>
      </x:c>
      <x:c r="Q44" s="35" t="str">
        <x:f>IF(AND(H44&lt;&gt;"",J44&lt;&gt;"",L44&lt;&gt;""),"READY FOR WORDING REVIEW","NEEDS DRAFT")</x:f>
        <x:v>NEEDS DRAFT</x:v>
      </x:c>
    </x:row>
    <x:row r="45" ht="76" customHeight="1">
      <x:c r="A45" s="35" t="str">
        <x:f>'Catalog Snapshot'!A45</x:f>
        <x:v>HISTORY &amp; RECOVERY</x:v>
      </x:c>
      <x:c r="B45" s="35" t="str">
        <x:f>'Catalog Snapshot'!B45</x:f>
        <x:v>undo</x:v>
      </x:c>
      <x:c r="C45" s="35" t="str">
        <x:f>'Catalog Snapshot'!E45</x:f>
        <x:v>DETERMINISTIC</x:v>
      </x:c>
      <x:c r="D45" s="35" t="str">
        <x:f>IF(C45="DETERMINISTIC","NO",IF(C45="SEMANTIC","YES — CACHE OR PROVIDER","DEPENDS ON FORM"))</x:f>
        <x:v>NO</x:v>
      </x:c>
      <x:c r="E45" s="35" t="str">
        <x:f>'Catalog Snapshot'!D45</x:f>
        <x:v>Command history -&gt; reversed Context effects</x:v>
      </x:c>
      <x:c r="F45" s="47" t="str"/>
      <x:c r="G45" s="35" t="str">
        <x:f>'Catalog Snapshot'!C45</x:f>
        <x:v>Undo the most recent recorded Context command across its affected Contexts.</x:v>
      </x:c>
      <x:c r="H45" s="49" t="str"/>
      <x:c r="I45" s="35" t="str">
        <x:f>'Catalog Snapshot'!F45</x:f>
        <x:v>Changes every Context affected by that command</x:v>
      </x:c>
      <x:c r="J45" s="51" t="str"/>
      <x:c r="K45" s="35" t="str">
        <x:f>'Catalog Snapshot'!G45</x:f>
      </x:c>
      <x:c r="L45" s="53" t="str"/>
      <x:c r="M45" s="35" t="str">
        <x:f>'Catalog Snapshot'!H45</x:f>
        <x:v>mem undo (undo the latest recorded Context command)</x:v>
      </x:c>
      <x:c r="N45" s="55" t="str">
        <x:v>Not reviewed</x:v>
      </x:c>
      <x:c r="O45" s="55" t="str"/>
      <x:c r="P45" s="35" t="str">
        <x:f>'Catalog Snapshot'!I45</x:f>
        <x:v>memcommit/help_catalog/catalog.py</x:v>
      </x:c>
      <x:c r="Q45" s="35" t="str">
        <x:f>IF(AND(H45&lt;&gt;"",J45&lt;&gt;"",L45&lt;&gt;""),"READY FOR WORDING REVIEW","NEEDS DRAFT")</x:f>
        <x:v>NEEDS DRAFT</x:v>
      </x:c>
    </x:row>
    <x:row r="46" ht="76" customHeight="1">
      <x:c r="A46" s="35" t="str">
        <x:f>'Catalog Snapshot'!A46</x:f>
        <x:v>HISTORY &amp; RECOVERY</x:v>
      </x:c>
      <x:c r="B46" s="35" t="str">
        <x:f>'Catalog Snapshot'!B46</x:f>
        <x:v>redo</x:v>
      </x:c>
      <x:c r="C46" s="35" t="str">
        <x:f>'Catalog Snapshot'!E46</x:f>
        <x:v>DETERMINISTIC</x:v>
      </x:c>
      <x:c r="D46" s="35" t="str">
        <x:f>IF(C46="DETERMINISTIC","NO",IF(C46="SEMANTIC","YES — CACHE OR PROVIDER","DEPENDS ON FORM"))</x:f>
        <x:v>NO</x:v>
      </x:c>
      <x:c r="E46" s="35" t="str">
        <x:f>'Catalog Snapshot'!D46</x:f>
        <x:v>Undo history -&gt; restored command effects</x:v>
      </x:c>
      <x:c r="F46" s="47" t="str"/>
      <x:c r="G46" s="35" t="str">
        <x:f>'Catalog Snapshot'!C46</x:f>
        <x:v>Redo the most recently undone recorded Context command.</x:v>
      </x:c>
      <x:c r="H46" s="49" t="str"/>
      <x:c r="I46" s="35" t="str">
        <x:f>'Catalog Snapshot'!F46</x:f>
        <x:v>Changes the affected Context set</x:v>
      </x:c>
      <x:c r="J46" s="51" t="str"/>
      <x:c r="K46" s="35" t="str">
        <x:f>'Catalog Snapshot'!G46</x:f>
      </x:c>
      <x:c r="L46" s="53" t="str"/>
      <x:c r="M46" s="35" t="str">
        <x:f>'Catalog Snapshot'!H46</x:f>
        <x:v>mem redo (redo the most recently undone Context command)</x:v>
      </x:c>
      <x:c r="N46" s="55" t="str">
        <x:v>Not reviewed</x:v>
      </x:c>
      <x:c r="O46" s="55" t="str"/>
      <x:c r="P46" s="35" t="str">
        <x:f>'Catalog Snapshot'!I46</x:f>
        <x:v>memcommit/help_catalog/catalog.py</x:v>
      </x:c>
      <x:c r="Q46" s="35" t="str">
        <x:f>IF(AND(H46&lt;&gt;"",J46&lt;&gt;"",L46&lt;&gt;""),"READY FOR WORDING REVIEW","NEEDS DRAFT")</x:f>
        <x:v>NEEDS DRAFT</x:v>
      </x:c>
    </x:row>
    <x:row r="47" ht="76" customHeight="1">
      <x:c r="A47" s="35" t="str">
        <x:f>'Catalog Snapshot'!A47</x:f>
        <x:v>HISTORY &amp; RECOVERY</x:v>
      </x:c>
      <x:c r="B47" s="35" t="str">
        <x:f>'Catalog Snapshot'!B47</x:f>
        <x:v>revert</x:v>
      </x:c>
      <x:c r="C47" s="35" t="str">
        <x:f>'Catalog Snapshot'!E47</x:f>
        <x:v>MIXED</x:v>
      </x:c>
      <x:c r="D47" s="35" t="str">
        <x:f>IF(C47="DETERMINISTIC","NO",IF(C47="SEMANTIC","YES — CACHE OR PROVIDER","DEPENDS ON FORM"))</x:f>
        <x:v>DEPENDS ON FORM</x:v>
      </x:c>
      <x:c r="E47" s="35" t="str">
        <x:f>'Catalog Snapshot'!D47</x:f>
        <x:v>Checkpoint -&gt; restored Context state</x:v>
      </x:c>
      <x:c r="F47" s="47" t="str"/>
      <x:c r="G47" s="35" t="str">
        <x:f>'Catalog Snapshot'!C47</x:f>
        <x:v>Select a checkpoint and review restoration of one local Context.</x:v>
      </x:c>
      <x:c r="H47" s="49" t="str"/>
      <x:c r="I47" s="35" t="str">
        <x:f>'Catalog Snapshot'!F47</x:f>
        <x:v>Changes one Context after restoration review</x:v>
      </x:c>
      <x:c r="J47" s="51" t="str"/>
      <x:c r="K47" s="35" t="str">
        <x:f>'Catalog Snapshot'!G47</x:f>
        <x:v>One exact local Context</x:v>
      </x:c>
      <x:c r="L47" s="53" t="str"/>
      <x:c r="M47" s="35" t="str">
        <x:f>'Catalog Snapshot'!H47</x:f>
        <x:v>mem revert (choose a local Context, checkpoint, and history policy interactively)
mem revert --context [context] (open one Context's checkpoint and history-policy review)
mem revert [checkpoint] (restore exact and discard newer checkpoints)
mem revert [checkpoint] --context [context] (restore an exact checkpoint in one Context)
mem revert [checkpoint] --keep (restore exact and preserve newer checkpoints)
mem revert "[description]" (semantic lookup; discard newer when applied)</x:v>
      </x:c>
      <x:c r="N47" s="55" t="str">
        <x:v>Not reviewed</x:v>
      </x:c>
      <x:c r="O47" s="55" t="str"/>
      <x:c r="P47" s="35" t="str">
        <x:f>'Catalog Snapshot'!I47</x:f>
        <x:v>memcommit/help_catalog/catalog.py</x:v>
      </x:c>
      <x:c r="Q47" s="35" t="str">
        <x:f>IF(AND(H47&lt;&gt;"",J47&lt;&gt;"",L47&lt;&gt;""),"READY FOR WORDING REVIEW","NEEDS DRAFT")</x:f>
        <x:v>NEEDS DRAFT</x:v>
      </x:c>
    </x:row>
    <x:row r="48" ht="76" customHeight="1">
      <x:c r="A48" s="35" t="str">
        <x:f>'Catalog Snapshot'!A48</x:f>
        <x:v>GROUND &amp; EVALUATION</x:v>
      </x:c>
      <x:c r="B48" s="35" t="str">
        <x:f>'Catalog Snapshot'!B48</x:f>
        <x:v>ground</x:v>
      </x:c>
      <x:c r="C48" s="35" t="str">
        <x:f>'Catalog Snapshot'!E48</x:f>
        <x:v>SEMANTIC</x:v>
      </x:c>
      <x:c r="D48" s="35" t="str">
        <x:f>IF(C48="DETERMINISTIC","NO",IF(C48="SEMANTIC","YES — CACHE OR PROVIDER","DEPENDS ON FORM"))</x:f>
        <x:v>YES — CACHE OR PROVIDER</x:v>
      </x:c>
      <x:c r="E48" s="35" t="str">
        <x:f>'Catalog Snapshot'!D48</x:f>
        <x:v>Dialogue + evidence -&gt; reviewed Ground</x:v>
      </x:c>
      <x:c r="F48" s="47" t="str"/>
      <x:c r="G48" s="35" t="str">
        <x:f>'Catalog Snapshot'!C48</x:f>
        <x:v>Create or continue a reviewed Goal-Rules-Memories Ground workbench.</x:v>
      </x:c>
      <x:c r="H48" s="49" t="str"/>
      <x:c r="I48" s="35" t="str">
        <x:f>'Catalog Snapshot'!F48</x:f>
        <x:v>Changes Ground records; Context changes require separate commands</x:v>
      </x:c>
      <x:c r="J48" s="51" t="str"/>
      <x:c r="K48" s="35" t="str">
        <x:f>'Catalog Snapshot'!G48</x:f>
      </x:c>
      <x:c r="L48" s="53" t="str"/>
      <x:c r="M48" s="35" t="str">
        <x:f>'Catalog Snapshot'!H48</x:f>
        <x:v>mem ground (enter the interactive Ground session)
mem ground [ground_name] (enter an interactive named Ground session)
mem ground "[request]" (enter an interactive Ground session with an initial request)
mem ground --request "[request]" (enter an interactive Ground session with an initial request)
mem ground --sessions (enter the interactive Ground session launcher; TTY required)</x:v>
      </x:c>
      <x:c r="N48" s="55" t="str">
        <x:v>Not reviewed</x:v>
      </x:c>
      <x:c r="O48" s="55" t="str"/>
      <x:c r="P48" s="35" t="str">
        <x:f>'Catalog Snapshot'!I48</x:f>
        <x:v>memcommit/help_catalog/catalog.py</x:v>
      </x:c>
      <x:c r="Q48" s="35" t="str">
        <x:f>IF(AND(H48&lt;&gt;"",J48&lt;&gt;"",L48&lt;&gt;""),"READY FOR WORDING REVIEW","NEEDS DRAFT")</x:f>
        <x:v>NEEDS DRAFT</x:v>
      </x:c>
    </x:row>
    <x:row r="49" ht="76" customHeight="1">
      <x:c r="A49" s="35" t="str">
        <x:f>'Catalog Snapshot'!A49</x:f>
        <x:v>GROUND &amp; EVALUATION</x:v>
      </x:c>
      <x:c r="B49" s="35" t="str">
        <x:f>'Catalog Snapshot'!B49</x:f>
        <x:v>init-study</x:v>
      </x:c>
      <x:c r="C49" s="35" t="str">
        <x:f>'Catalog Snapshot'!E49</x:f>
        <x:v>DETERMINISTIC</x:v>
      </x:c>
      <x:c r="D49" s="35" t="str">
        <x:f>IF(C49="DETERMINISTIC","NO",IF(C49="SEMANTIC","YES — CACHE OR PROVIDER","DEPENDS ON FORM"))</x:f>
        <x:v>NO</x:v>
      </x:c>
      <x:c r="E49" s="35" t="str">
        <x:f>'Catalog Snapshot'!D49</x:f>
        <x:v>Study baseline -&gt; isolated Study Profiles</x:v>
      </x:c>
      <x:c r="F49" s="47" t="str"/>
      <x:c r="G49" s="35" t="str">
        <x:f>'Catalog Snapshot'!C49</x:f>
        <x:v>Copy one Study baseline into an isolated participant/authority Profile pair.</x:v>
      </x:c>
      <x:c r="H49" s="49" t="str"/>
      <x:c r="I49" s="35" t="str">
        <x:f>'Catalog Snapshot'!F49</x:f>
        <x:v>Creates isolated Profile stores and switches Profile</x:v>
      </x:c>
      <x:c r="J49" s="51" t="str"/>
      <x:c r="K49" s="35" t="str">
        <x:f>'Catalog Snapshot'!G49</x:f>
      </x:c>
      <x:c r="L49" s="53" t="str"/>
      <x:c r="M49" s="35" t="str">
        <x:f>'Catalog Snapshot'!H49</x:f>
        <x:v>mem init-study (edit or generate a Study Profile name)
mem init-study [profile_name] (use an explicit Study Profile name)
mem init-study --from-profile [baseline_profile] (generated run name)
mem init-study [profile_name] --from-profile [baseline_profile] (explicit baseline)</x:v>
      </x:c>
      <x:c r="N49" s="55" t="str">
        <x:v>Not reviewed</x:v>
      </x:c>
      <x:c r="O49" s="55" t="str"/>
      <x:c r="P49" s="35" t="str">
        <x:f>'Catalog Snapshot'!I49</x:f>
        <x:v>memcommit/help_catalog/catalog.py</x:v>
      </x:c>
      <x:c r="Q49" s="35" t="str">
        <x:f>IF(AND(H49&lt;&gt;"",J49&lt;&gt;"",L49&lt;&gt;""),"READY FOR WORDING REVIEW","NEEDS DRAFT")</x:f>
        <x:v>NEEDS DRAFT</x:v>
      </x:c>
    </x:row>
    <x:row r="50" ht="76" customHeight="1">
      <x:c r="A50" s="35" t="str">
        <x:f>'Catalog Snapshot'!A50</x:f>
        <x:v>GROUND &amp; EVALUATION</x:v>
      </x:c>
      <x:c r="B50" s="35" t="str">
        <x:f>'Catalog Snapshot'!B50</x:f>
        <x:v>eval</x:v>
      </x:c>
      <x:c r="C50" s="35" t="str">
        <x:f>'Catalog Snapshot'!E50</x:f>
        <x:v>MIXED</x:v>
      </x:c>
      <x:c r="D50" s="35" t="str">
        <x:f>IF(C50="DETERMINISTIC","NO",IF(C50="SEMANTIC","YES — CACHE OR PROVIDER","DEPENDS ON FORM"))</x:f>
        <x:v>DEPENDS ON FORM</x:v>
      </x:c>
      <x:c r="E50" s="35" t="str">
        <x:f>'Catalog Snapshot'!D50</x:f>
        <x:v>Evaluation fixtures -&gt; campaign results</x:v>
      </x:c>
      <x:c r="F50" s="47" t="str"/>
      <x:c r="G50" s="35" t="str">
        <x:f>'Catalog Snapshot'!C50</x:f>
        <x:v>Run and inspect staged semantic evaluation campaigns.</x:v>
      </x:c>
      <x:c r="H50" s="49" t="str"/>
      <x:c r="I50" s="35" t="str">
        <x:f>'Catalog Snapshot'!F50</x:f>
        <x:v>Changes evaluation ledgers, not Context content</x:v>
      </x:c>
      <x:c r="J50" s="51" t="str"/>
      <x:c r="K50" s="35" t="str">
        <x:f>'Catalog Snapshot'!G50</x:f>
      </x:c>
      <x:c r="L50" s="53" t="str"/>
      <x:c r="M50" s="35" t="str">
        <x:f>'Catalog Snapshot'!H50</x:f>
        <x:v>mem eval semantic status (show retained semantic campaign status)
mem eval semantic run [campaign] (run a semantic evaluation campaign)</x:v>
      </x:c>
      <x:c r="N50" s="55" t="str">
        <x:v>Not reviewed</x:v>
      </x:c>
      <x:c r="O50" s="55" t="str"/>
      <x:c r="P50" s="35" t="str">
        <x:f>'Catalog Snapshot'!I50</x:f>
        <x:v>memcommit/help_catalog/catalog.py</x:v>
      </x:c>
      <x:c r="Q50" s="35" t="str">
        <x:f>IF(AND(H50&lt;&gt;"",J50&lt;&gt;"",L50&lt;&gt;""),"READY FOR WORDING REVIEW","NEEDS DRAFT")</x:f>
        <x:v>NEEDS DRAFT</x:v>
      </x:c>
    </x:row>
    <x:row r="51" ht="76" customHeight="1">
      <x:c r="A51" s="35" t="str">
        <x:f>'Catalog Snapshot'!A51</x:f>
        <x:v>PROFILE &amp; SHARING</x:v>
      </x:c>
      <x:c r="B51" s="35" t="str">
        <x:f>'Catalog Snapshot'!B51</x:f>
        <x:v>profile</x:v>
      </x:c>
      <x:c r="C51" s="35" t="str">
        <x:f>'Catalog Snapshot'!E51</x:f>
        <x:v>DETERMINISTIC</x:v>
      </x:c>
      <x:c r="D51" s="35" t="str">
        <x:f>IF(C51="DETERMINISTIC","NO",IF(C51="SEMANTIC","YES — CACHE OR PROVIDER","DEPENDS ON FORM"))</x:f>
        <x:v>NO</x:v>
      </x:c>
      <x:c r="E51" s="35" t="str">
        <x:f>'Catalog Snapshot'!D51</x:f>
        <x:v>Profile registry &lt;-&gt; Profile administration</x:v>
      </x:c>
      <x:c r="F51" s="47" t="str"/>
      <x:c r="G51" s="35" t="str">
        <x:f>'Catalog Snapshot'!C51</x:f>
        <x:v>Enter the interactive Profile selector, or manage complete local MemoryStore Profiles.</x:v>
      </x:c>
      <x:c r="H51" s="49" t="str"/>
      <x:c r="I51" s="35" t="str">
        <x:f>'Catalog Snapshot'!F51</x:f>
        <x:v>May switch, create, import, rename, or remove Profiles</x:v>
      </x:c>
      <x:c r="J51" s="51" t="str"/>
      <x:c r="K51" s="35" t="str">
        <x:f>'Catalog Snapshot'!G51</x:f>
      </x:c>
      <x:c r="L51" s="53" t="str"/>
      <x:c r="M51" s="35" t="str">
        <x:f>'Catalog Snapshot'!H51</x:f>
        <x:v>mem profile (enter the interactive Profile selector in a TTY; list otherwise)
mem profile [profile_name] (select through the concise alias)
mem profile use [profile_name] (select explicitly)
mem profile list (list registered Profiles)
mem profile current (show the active Profile)
mem profile rename [new_name] (rename the active Profile)
mem profile rename [profile_name] [new_name] (rename an explicit Profile)
mem profile remove [profile_name] (permanently delete one Profile store)
mem profile remove-study [study_name] (permanently delete Study stores)
mem profile import [profile_name] --from [store] (copy a complete store)
mem profile import-study (bootstrap the editable Study baseline)
mem profile refresh-study (refresh the editable Study baseline)
mem profile archive-study [study_name] (detach a legacy split Study)
mem profile grant list (list cross-Profile views)
mem profile grant create [authority_profile] [grantee_profile] [source_context] --into [attachment_context] --allow [permission]
mem profile grant create [authority_profile] [grantee_profile] [source_context] --into [attachment_context] --allow [permission] --recursive (freeze descendants)
mem profile grant update [grant] --allow [permission]
mem profile grant update [grant] --allow [permission] --refresh-scope (refreeze descendants)
mem profile grant update [grant] --allow [permission] --root-only (freeze only the root)
mem profile grant delete [grant] (revoke a view)</x:v>
      </x:c>
      <x:c r="N51" s="55" t="str">
        <x:v>Not reviewed</x:v>
      </x:c>
      <x:c r="O51" s="55" t="str"/>
      <x:c r="P51" s="35" t="str">
        <x:f>'Catalog Snapshot'!I51</x:f>
        <x:v>memcommit/help_catalog/catalog.py</x:v>
      </x:c>
      <x:c r="Q51" s="35" t="str">
        <x:f>IF(AND(H51&lt;&gt;"",J51&lt;&gt;"",L51&lt;&gt;""),"READY FOR WORDING REVIEW","NEEDS DRAFT")</x:f>
        <x:v>NEEDS DRAFT</x:v>
      </x:c>
    </x:row>
    <x:row r="52" ht="76" customHeight="1">
      <x:c r="A52" s="35" t="str">
        <x:f>'Catalog Snapshot'!A52</x:f>
        <x:v>PROFILE &amp; SHARING</x:v>
      </x:c>
      <x:c r="B52" s="35" t="str">
        <x:f>'Catalog Snapshot'!B52</x:f>
        <x:v>rename</x:v>
      </x:c>
      <x:c r="C52" s="35" t="str">
        <x:f>'Catalog Snapshot'!E52</x:f>
        <x:v>DETERMINISTIC</x:v>
      </x:c>
      <x:c r="D52" s="35" t="str">
        <x:f>IF(C52="DETERMINISTIC","NO",IF(C52="SEMANTIC","YES — CACHE OR PROVIDER","DEPENDS ON FORM"))</x:f>
        <x:v>NO</x:v>
      </x:c>
      <x:c r="E52" s="35" t="str">
        <x:f>'Catalog Snapshot'!D52</x:f>
        <x:v>Managed Profile name -&gt; new Profile name</x:v>
      </x:c>
      <x:c r="F52" s="47" t="str"/>
      <x:c r="G52" s="35" t="str">
        <x:f>'Catalog Snapshot'!C52</x:f>
        <x:v>Rename the current or an explicit managed Profile without moving or rewriting its store; mem profile rename is the explicit equivalent.</x:v>
      </x:c>
      <x:c r="H52" s="49" t="str"/>
      <x:c r="I52" s="35" t="str">
        <x:f>'Catalog Snapshot'!F52</x:f>
        <x:v>Changes registry metadata; store contents stay in place</x:v>
      </x:c>
      <x:c r="J52" s="51" t="str"/>
      <x:c r="K52" s="35" t="str">
        <x:f>'Catalog Snapshot'!G52</x:f>
      </x:c>
      <x:c r="L52" s="53" t="str"/>
      <x:c r="M52" s="35" t="str">
        <x:f>'Catalog Snapshot'!H52</x:f>
        <x:v>mem rename [new_name] (rename the active Profile)
mem rename [profile_name] [new_name] (rename an explicit Profile)</x:v>
      </x:c>
      <x:c r="N52" s="55" t="str">
        <x:v>Not reviewed</x:v>
      </x:c>
      <x:c r="O52" s="55" t="str"/>
      <x:c r="P52" s="35" t="str">
        <x:f>'Catalog Snapshot'!I52</x:f>
        <x:v>memcommit/help_catalog/catalog.py</x:v>
      </x:c>
      <x:c r="Q52" s="35" t="str">
        <x:f>IF(AND(H52&lt;&gt;"",J52&lt;&gt;"",L52&lt;&gt;""),"READY FOR WORDING REVIEW","NEEDS DRAFT")</x:f>
        <x:v>NEEDS DRAFT</x:v>
      </x:c>
    </x:row>
    <x:row r="53" ht="76" customHeight="1">
      <x:c r="A53" s="35" t="str">
        <x:f>'Catalog Snapshot'!A53</x:f>
        <x:v>PROFILE &amp; SHARING</x:v>
      </x:c>
      <x:c r="B53" s="35" t="str">
        <x:f>'Catalog Snapshot'!B53</x:f>
        <x:v>share</x:v>
      </x:c>
      <x:c r="C53" s="35" t="str">
        <x:f>'Catalog Snapshot'!E53</x:f>
        <x:v>DETERMINISTIC</x:v>
      </x:c>
      <x:c r="D53" s="35" t="str">
        <x:f>IF(C53="DETERMINISTIC","NO",IF(C53="SEMANTIC","YES — CACHE OR PROVIDER","DEPENDS ON FORM"))</x:f>
        <x:v>NO</x:v>
      </x:c>
      <x:c r="E53" s="35" t="str">
        <x:f>'Catalog Snapshot'!D53</x:f>
        <x:v>Owned Context -&gt; receiver endpoint</x:v>
      </x:c>
      <x:c r="F53" s="47" t="str"/>
      <x:c r="G53" s="35" t="str">
        <x:f>'Catalog Snapshot'!C53</x:f>
        <x:v>Send one ordinary Context through a grant-backed receiver endpoint.</x:v>
      </x:c>
      <x:c r="H53" s="49" t="str"/>
      <x:c r="I53" s="35" t="str">
        <x:f>'Catalog Snapshot'!F53</x:f>
        <x:v>External delivery; Source remains unchanged</x:v>
      </x:c>
      <x:c r="J53" s="51" t="str"/>
      <x:c r="K53" s="35" t="str">
        <x:f>'Catalog Snapshot'!G53</x:f>
        <x:v>One exact ordinary Source Context</x:v>
      </x:c>
      <x:c r="L53" s="53" t="str"/>
      <x:c r="M53" s="35" t="str">
        <x:f>'Catalog Snapshot'!H53</x:f>
        <x:v>mem share (enter the interactive Share setup)
mem share [source_context] (enter the interactive endpoint selector)
mem share --to [endpoint] (enter the interactive Source selector)
mem share [source_context] --to [endpoint] (explicit delivery)</x:v>
      </x:c>
      <x:c r="N53" s="55" t="str">
        <x:v>Not reviewed</x:v>
      </x:c>
      <x:c r="O53" s="55" t="str"/>
      <x:c r="P53" s="35" t="str">
        <x:f>'Catalog Snapshot'!I53</x:f>
        <x:v>memcommit/help_catalog/catalog.py</x:v>
      </x:c>
      <x:c r="Q53" s="35" t="str">
        <x:f>IF(AND(H53&lt;&gt;"",J53&lt;&gt;"",L53&lt;&gt;""),"READY FOR WORDING REVIEW","NEEDS DRAFT")</x:f>
        <x:v>NEEDS DRAFT</x:v>
      </x:c>
    </x:row>
    <x:row r="54" ht="76" customHeight="1">
      <x:c r="A54" s="35" t="str">
        <x:f>'Catalog Snapshot'!A54</x:f>
        <x:v>PROFILE &amp; SHARING</x:v>
      </x:c>
      <x:c r="B54" s="35" t="str">
        <x:f>'Catalog Snapshot'!B54</x:f>
        <x:v>lock</x:v>
      </x:c>
      <x:c r="C54" s="35" t="str">
        <x:f>'Catalog Snapshot'!E54</x:f>
        <x:v>DETERMINISTIC</x:v>
      </x:c>
      <x:c r="D54" s="35" t="str">
        <x:f>IF(C54="DETERMINISTIC","NO",IF(C54="SEMANTIC","YES — CACHE OR PROVIDER","DEPENDS ON FORM"))</x:f>
        <x:v>NO</x:v>
      </x:c>
      <x:c r="E54" s="35" t="str">
        <x:f>'Catalog Snapshot'!D54</x:f>
        <x:v>Resource -&gt; write-protected resource</x:v>
      </x:c>
      <x:c r="F54" s="47" t="str"/>
      <x:c r="G54" s="35" t="str">
        <x:f>'Catalog Snapshot'!C54</x:f>
        <x:v>Lock the current Context, a recursive Context set, Memory, or Profile.</x:v>
      </x:c>
      <x:c r="H54" s="49" t="str"/>
      <x:c r="I54" s="35" t="str">
        <x:f>'Catalog Snapshot'!F54</x:f>
        <x:v>Changes protection metadata</x:v>
      </x:c>
      <x:c r="J54" s="51" t="str"/>
      <x:c r="K54" s="35" t="str">
        <x:f>'Catalog Snapshot'!G54</x:f>
        <x:v>Exact resource or recursive Context set</x:v>
      </x:c>
      <x:c r="L54" s="53" t="str"/>
      <x:c r="M54" s="35" t="str">
        <x:f>'Catalog Snapshot'!H54</x:f>
        <x:v>mem lock (lock the current Context)
mem lock -r (lock the current Context namespace)
mem lock context [context] (lock an explicit Context)
mem lock context [context] --recursive (lock an explicit Context namespace)
mem lock memory [memory] (lock a direct Memory in the current Context)
mem lock memory [memory] --context [context] (lock a direct Memory)
mem lock profile (lock the active Profile)</x:v>
      </x:c>
      <x:c r="N54" s="55" t="str">
        <x:v>Not reviewed</x:v>
      </x:c>
      <x:c r="O54" s="55" t="str"/>
      <x:c r="P54" s="35" t="str">
        <x:f>'Catalog Snapshot'!I54</x:f>
        <x:v>memcommit/help_catalog/catalog.py</x:v>
      </x:c>
      <x:c r="Q54" s="35" t="str">
        <x:f>IF(AND(H54&lt;&gt;"",J54&lt;&gt;"",L54&lt;&gt;""),"READY FOR WORDING REVIEW","NEEDS DRAFT")</x:f>
        <x:v>NEEDS DRAFT</x:v>
      </x:c>
    </x:row>
    <x:row r="55" ht="76" customHeight="1">
      <x:c r="A55" s="35" t="str">
        <x:f>'Catalog Snapshot'!A55</x:f>
        <x:v>PROFILE &amp; SHARING</x:v>
      </x:c>
      <x:c r="B55" s="35" t="str">
        <x:f>'Catalog Snapshot'!B55</x:f>
        <x:v>unlock</x:v>
      </x:c>
      <x:c r="C55" s="35" t="str">
        <x:f>'Catalog Snapshot'!E55</x:f>
        <x:v>DETERMINISTIC</x:v>
      </x:c>
      <x:c r="D55" s="35" t="str">
        <x:f>IF(C55="DETERMINISTIC","NO",IF(C55="SEMANTIC","YES — CACHE OR PROVIDER","DEPENDS ON FORM"))</x:f>
        <x:v>NO</x:v>
      </x:c>
      <x:c r="E55" s="35" t="str">
        <x:f>'Catalog Snapshot'!D55</x:f>
        <x:v>Protected resource -&gt; writable resource</x:v>
      </x:c>
      <x:c r="F55" s="47" t="str"/>
      <x:c r="G55" s="35" t="str">
        <x:f>'Catalog Snapshot'!C55</x:f>
        <x:v>Unlock the current Context, a recursive set, Memory, or Profile.</x:v>
      </x:c>
      <x:c r="H55" s="49" t="str"/>
      <x:c r="I55" s="35" t="str">
        <x:f>'Catalog Snapshot'!F55</x:f>
        <x:v>Changes protection metadata</x:v>
      </x:c>
      <x:c r="J55" s="51" t="str"/>
      <x:c r="K55" s="35" t="str">
        <x:f>'Catalog Snapshot'!G55</x:f>
        <x:v>Exact resource or recursive Context set</x:v>
      </x:c>
      <x:c r="L55" s="53" t="str"/>
      <x:c r="M55" s="35" t="str">
        <x:f>'Catalog Snapshot'!H55</x:f>
        <x:v>mem unlock (unlock the current Context)
mem unlock -r (unlock the current Context namespace)
mem unlock context [context] (unlock an explicit Context)
mem unlock context [context] --recursive (unlock an explicit Context namespace)
mem unlock memory [memory] (unlock a direct Memory in the current Context)
mem unlock memory [memory] --context [context] (unlock a direct Memory)
mem unlock profile (unlock the active Profile)</x:v>
      </x:c>
      <x:c r="N55" s="55" t="str">
        <x:v>Not reviewed</x:v>
      </x:c>
      <x:c r="O55" s="55" t="str"/>
      <x:c r="P55" s="35" t="str">
        <x:f>'Catalog Snapshot'!I55</x:f>
        <x:v>memcommit/help_catalog/catalog.py</x:v>
      </x:c>
      <x:c r="Q55" s="35" t="str">
        <x:f>IF(AND(H55&lt;&gt;"",J55&lt;&gt;"",L55&lt;&gt;""),"READY FOR WORDING REVIEW","NEEDS DRAFT")</x:f>
        <x:v>NEEDS DRAFT</x:v>
      </x:c>
    </x:row>
    <x:row r="56" ht="76" customHeight="1">
      <x:c r="A56" s="35" t="str">
        <x:f>'Catalog Snapshot'!A56</x:f>
        <x:v>SYSTEM</x:v>
      </x:c>
      <x:c r="B56" s="35" t="str">
        <x:f>'Catalog Snapshot'!B56</x:f>
        <x:v>help</x:v>
      </x:c>
      <x:c r="C56" s="35" t="str">
        <x:f>'Catalog Snapshot'!E56</x:f>
        <x:v>DETERMINISTIC</x:v>
      </x:c>
      <x:c r="D56" s="35" t="str">
        <x:f>IF(C56="DETERMINISTIC","NO",IF(C56="SEMANTIC","YES — CACHE OR PROVIDER","DEPENDS ON FORM"))</x:f>
        <x:v>NO</x:v>
      </x:c>
      <x:c r="E56" s="35" t="str">
        <x:f>'Catalog Snapshot'!D56</x:f>
        <x:v>Operation catalog -&gt; usage guidance</x:v>
      </x:c>
      <x:c r="F56" s="47" t="str"/>
      <x:c r="G56" s="35" t="str">
        <x:f>'Catalog Snapshot'!C56</x:f>
        <x:v>Enter the interactive command browser and open syntax help.</x:v>
      </x:c>
      <x:c r="H56" s="49" t="str"/>
      <x:c r="I56" s="35" t="str">
        <x:f>'Catalog Snapshot'!F56</x:f>
        <x:v>Read-only</x:v>
      </x:c>
      <x:c r="J56" s="51" t="str"/>
      <x:c r="K56" s="35" t="str">
        <x:f>'Catalog Snapshot'!G56</x:f>
      </x:c>
      <x:c r="L56" s="53" t="str"/>
      <x:c r="M56" s="35" t="str">
        <x:f>'Catalog Snapshot'!H56</x:f>
        <x:v>mem help (enter the interactive command browser)</x:v>
      </x:c>
      <x:c r="N56" s="55" t="str">
        <x:v>Not reviewed</x:v>
      </x:c>
      <x:c r="O56" s="55" t="str"/>
      <x:c r="P56" s="35" t="str">
        <x:f>'Catalog Snapshot'!I56</x:f>
        <x:v>memcommit/help_catalog/catalog.py</x:v>
      </x:c>
      <x:c r="Q56" s="35" t="str">
        <x:f>IF(AND(H56&lt;&gt;"",J56&lt;&gt;"",L56&lt;&gt;""),"READY FOR WORDING REVIEW","NEEDS DRAFT")</x:f>
        <x:v>NEEDS DRAFT</x:v>
      </x:c>
    </x:row>
    <x:row r="57" ht="76" customHeight="1">
      <x:c r="A57" s="35" t="str">
        <x:f>'Catalog Snapshot'!A57</x:f>
        <x:v>SYSTEM</x:v>
      </x:c>
      <x:c r="B57" s="35" t="str">
        <x:f>'Catalog Snapshot'!B57</x:f>
        <x:v>provider</x:v>
      </x:c>
      <x:c r="C57" s="35" t="str">
        <x:f>'Catalog Snapshot'!E57</x:f>
        <x:v>DETERMINISTIC</x:v>
      </x:c>
      <x:c r="D57" s="35" t="str">
        <x:f>IF(C57="DETERMINISTIC","NO",IF(C57="SEMANTIC","YES — CACHE OR PROVIDER","DEPENDS ON FORM"))</x:f>
        <x:v>NO</x:v>
      </x:c>
      <x:c r="E57" s="35" t="str">
        <x:f>'Catalog Snapshot'!D57</x:f>
        <x:v>Provider configuration &lt;-&gt; status or probe</x:v>
      </x:c>
      <x:c r="F57" s="47" t="str"/>
      <x:c r="G57" s="35" t="str">
        <x:f>'Catalog Snapshot'!C57</x:f>
        <x:v>Select and verify Codex, Ollama, or OpenRouter semantic execution.</x:v>
      </x:c>
      <x:c r="H57" s="49" t="str"/>
      <x:c r="I57" s="35" t="str">
        <x:f>'Catalog Snapshot'!F57</x:f>
        <x:v>May change provider configuration or make a probe request</x:v>
      </x:c>
      <x:c r="J57" s="51" t="str"/>
      <x:c r="K57" s="35" t="str">
        <x:f>'Catalog Snapshot'!G57</x:f>
      </x:c>
      <x:c r="L57" s="53" t="str"/>
      <x:c r="M57" s="35" t="str">
        <x:f>'Catalog Snapshot'!H57</x:f>
        <x:v>mem provider status (inspect the selection without connecting)
mem provider use codex_chatgpt (select managed Codex defaults)
mem provider use ollama --model [model] (select a local model)
mem provider use openrouter --model [model] (select a routed model)
mem provider probe (test the current selection)</x:v>
      </x:c>
      <x:c r="N57" s="55" t="str">
        <x:v>Not reviewed</x:v>
      </x:c>
      <x:c r="O57" s="55" t="str"/>
      <x:c r="P57" s="35" t="str">
        <x:f>'Catalog Snapshot'!I57</x:f>
        <x:v>memcommit/help_catalog/catalog.py</x:v>
      </x:c>
      <x:c r="Q57" s="35" t="str">
        <x:f>IF(AND(H57&lt;&gt;"",J57&lt;&gt;"",L57&lt;&gt;""),"READY FOR WORDING REVIEW","NEEDS DRAFT")</x:f>
        <x:v>NEEDS DRAFT</x:v>
      </x:c>
    </x:row>
    <x:row r="58" ht="76" customHeight="1">
      <x:c r="A58" s="35" t="str">
        <x:f>'Catalog Snapshot'!A58</x:f>
        <x:v>SYSTEM</x:v>
      </x:c>
      <x:c r="B58" s="35" t="str">
        <x:f>'Catalog Snapshot'!B58</x:f>
        <x:v>shell-init</x:v>
      </x:c>
      <x:c r="C58" s="35" t="str">
        <x:f>'Catalog Snapshot'!E58</x:f>
        <x:v>DETERMINISTIC</x:v>
      </x:c>
      <x:c r="D58" s="35" t="str">
        <x:f>IF(C58="DETERMINISTIC","NO",IF(C58="SEMANTIC","YES — CACHE OR PROVIDER","DEPENDS ON FORM"))</x:f>
        <x:v>NO</x:v>
      </x:c>
      <x:c r="E58" s="35" t="str">
        <x:f>'Catalog Snapshot'!D58</x:f>
        <x:v>Shell name -&gt; integration script</x:v>
      </x:c>
      <x:c r="F58" s="47" t="str"/>
      <x:c r="G58" s="35" t="str">
        <x:f>'Catalog Snapshot'!C58</x:f>
        <x:v>Print opt-in shell integration for interactive command prefill.</x:v>
      </x:c>
      <x:c r="H58" s="49" t="str"/>
      <x:c r="I58" s="35" t="str">
        <x:f>'Catalog Snapshot'!F58</x:f>
        <x:v>Read-only; installation requires explicit shell evaluation</x:v>
      </x:c>
      <x:c r="J58" s="51" t="str"/>
      <x:c r="K58" s="35" t="str">
        <x:f>'Catalog Snapshot'!G58</x:f>
      </x:c>
      <x:c r="L58" s="53" t="str"/>
      <x:c r="M58" s="35" t="str">
        <x:f>'Catalog Snapshot'!H58</x:f>
        <x:v>mem shell-init (print zsh integration)
mem shell-init zsh (explicit equivalent)</x:v>
      </x:c>
      <x:c r="N58" s="55" t="str">
        <x:v>Not reviewed</x:v>
      </x:c>
      <x:c r="O58" s="55" t="str"/>
      <x:c r="P58" s="35" t="str">
        <x:f>'Catalog Snapshot'!I58</x:f>
        <x:v>memcommit/help_catalog/catalog.py</x:v>
      </x:c>
      <x:c r="Q58" s="35" t="str">
        <x:f>IF(AND(H58&lt;&gt;"",J58&lt;&gt;"",L58&lt;&gt;""),"READY FOR WORDING REVIEW","NEEDS DRAFT")</x:f>
        <x:v>NEEDS DRAFT</x:v>
      </x:c>
    </x:row>
    <x:row r="59" ht="76" customHeight="1">
      <x:c r="A59" s="35" t="str">
        <x:f>'Catalog Snapshot'!A59</x:f>
        <x:v>SYSTEM</x:v>
      </x:c>
      <x:c r="B59" s="35" t="str">
        <x:f>'Catalog Snapshot'!B59</x:f>
        <x:v>config</x:v>
      </x:c>
      <x:c r="C59" s="35" t="str">
        <x:f>'Catalog Snapshot'!E59</x:f>
        <x:v>DETERMINISTIC</x:v>
      </x:c>
      <x:c r="D59" s="35" t="str">
        <x:f>IF(C59="DETERMINISTIC","NO",IF(C59="SEMANTIC","YES — CACHE OR PROVIDER","DEPENDS ON FORM"))</x:f>
        <x:v>NO</x:v>
      </x:c>
      <x:c r="E59" s="35" t="str">
        <x:f>'Catalog Snapshot'!D59</x:f>
        <x:v>Configuration key &lt;-&gt; value</x:v>
      </x:c>
      <x:c r="F59" s="47" t="str"/>
      <x:c r="G59" s="35" t="str">
        <x:f>'Catalog Snapshot'!C59</x:f>
        <x:v>Read and write global configuration.</x:v>
      </x:c>
      <x:c r="H59" s="49" t="str"/>
      <x:c r="I59" s="35" t="str">
        <x:f>'Catalog Snapshot'!F59</x:f>
        <x:v>May change global configuration</x:v>
      </x:c>
      <x:c r="J59" s="51" t="str"/>
      <x:c r="K59" s="35" t="n">
        <x:f>'Catalog Snapshot'!G59</x:f>
        <x:v>0</x:v>
      </x:c>
      <x:c r="L59" s="53" t="str"/>
      <x:c r="M59" s="35" t="str">
        <x:f>'Catalog Snapshot'!H59</x:f>
        <x:v>mem config show (show global configuration)
mem config set [key] "[value]" (set one global value)</x:v>
      </x:c>
      <x:c r="N59" s="55" t="str">
        <x:v>Not reviewed</x:v>
      </x:c>
      <x:c r="O59" s="55" t="str"/>
      <x:c r="P59" s="35" t="str">
        <x:f>'Catalog Snapshot'!I59</x:f>
        <x:v>memcommit/help_catalog/catalog.py</x:v>
      </x:c>
      <x:c r="Q59" s="35" t="str">
        <x:f>IF(AND(H59&lt;&gt;"",J59&lt;&gt;"",L59&lt;&gt;""),"READY FOR WORDING REVIEW","NEEDS DRAFT")</x:f>
        <x:v>NEEDS DRAFT</x:v>
      </x:c>
    </x:row>
  </x:sheetData>
  <x:mergeCells>
    <x:mergeCell ref="A1:Q1"/>
    <x:mergeCell ref="A2:Q2"/>
    <x:mergeCell ref="A3:Q3"/>
  </x:mergeCells>
  <x:conditionalFormatting sqref="D5:D59">
    <x:cfRule type="containsText" dxfId="0" priority="1" operator="containsText" text="YES"/>
    <x:cfRule type="containsText" dxfId="1" priority="2" operator="containsText" text="NO"/>
  </x:conditionalFormatting>
  <x:conditionalFormatting sqref="Q5:Q59">
    <x:cfRule type="containsText" dxfId="2" priority="3" operator="containsText" text="READY"/>
    <x:cfRule type="containsText" dxfId="3" priority="4" operator="containsText" text="NEEDS"/>
  </x:conditionalFormatting>
  <x:dataValidations count="1">
    <x:dataValidation type="list" sqref="N5:N59">
      <x:formula1>"Not reviewed,Draft,Approved,Rework"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19b40147f443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52" hidden="0" customWidth="1"/>
    <x:col min="4" max="4" width="40" hidden="0" customWidth="1"/>
    <x:col min="5" max="5" width="17" hidden="0" customWidth="1"/>
    <x:col min="6" max="6" width="43" hidden="0" customWidth="1"/>
    <x:col min="7" max="7" width="39" hidden="0" customWidth="1"/>
    <x:col min="8" max="8" width="63" hidden="0" customWidth="1"/>
    <x:col min="9" max="9" width="38" hidden="0" customWidth="1"/>
    <x:col min="10" max="10" width="38" hidden="0" customWidth="1"/>
  </x:cols>
  <x:sheetData>
    <x:row r="1" ht="32" customHeight="1">
      <x:c r="A1" s="3" t="str">
        <x:v>Mem Help · Catalog Snapshot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Read-only snapshot of the current Python Help catalog. Regenerate the workbook after code changes; do not treat this sheet as the Help source of truth.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11" t="str">
        <x:v>Generated from current Help catalog · git a1e0ad15 · Help files have uncommitted changes · 55 operations · 2026-08-15 11:15:04 UTC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3" t="str">
        <x:v>CATEGORY</x:v>
      </x:c>
      <x:c r="B4" s="24" t="str">
        <x:v>NAME</x:v>
      </x:c>
      <x:c r="C4" s="24" t="str">
        <x:v>SUMMARY</x:v>
      </x:c>
      <x:c r="D4" s="24" t="str">
        <x:v>FLOW</x:v>
      </x:c>
      <x:c r="E4" s="24" t="str">
        <x:v>EXECUTION</x:v>
      </x:c>
      <x:c r="F4" s="24" t="str">
        <x:v>EFFECT</x:v>
      </x:c>
      <x:c r="G4" s="24" t="str">
        <x:v>RANGE</x:v>
      </x:c>
      <x:c r="H4" s="24" t="str">
        <x:v>FORMS</x:v>
      </x:c>
      <x:c r="I4" s="24" t="str">
        <x:v>CATALOG SOURCE</x:v>
      </x:c>
      <x:c r="J4" s="25" t="str">
        <x:v>FORMS SOURCE</x:v>
      </x:c>
    </x:row>
    <x:row r="5" ht="58" customHeight="1">
      <x:c r="A5" s="34" t="str">
        <x:v>CONTEXTS</x:v>
      </x:c>
      <x:c r="B5" s="34" t="str">
        <x:v>status</x:v>
      </x:c>
      <x:c r="C5" s="34" t="str">
        <x:v>Show current Context counts, recent Memories, and checkpoints.</x:v>
      </x:c>
      <x:c r="D5" s="34" t="str">
        <x:v>Current Context -&gt; status report</x:v>
      </x:c>
      <x:c r="E5" s="34" t="str">
        <x:v>DETERMINISTIC</x:v>
      </x:c>
      <x:c r="F5" s="34" t="str">
        <x:v>Read-only</x:v>
      </x:c>
      <x:c r="G5" s="34" t="str">
        <x:v>Current exact Context</x:v>
      </x:c>
      <x:c r="H5" s="34" t="str">
        <x:v>mem status (detailed current-Context status)
mem status --short (one-line status)
mem status --branch (include Profile and Context lineage)</x:v>
      </x:c>
      <x:c r="I5" s="34" t="str">
        <x:v>memcommit/help_catalog/catalog.py</x:v>
      </x:c>
      <x:c r="J5" s="34" t="str">
        <x:v>memcommit/commands/help_inventory.py</x:v>
      </x:c>
    </x:row>
    <x:row r="6" ht="58" customHeight="1">
      <x:c r="A6" s="35" t="str">
        <x:v>CONTEXTS</x:v>
      </x:c>
      <x:c r="B6" s="35" t="str">
        <x:v>pwd</x:v>
      </x:c>
      <x:c r="C6" s="35" t="str">
        <x:v>Print the current canonical Context name without loading its contents.</x:v>
      </x:c>
      <x:c r="D6" s="35" t="str">
        <x:v>Current Context pointer -&gt; canonical name</x:v>
      </x:c>
      <x:c r="E6" s="35" t="str">
        <x:v>DETERMINISTIC</x:v>
      </x:c>
      <x:c r="F6" s="35" t="str">
        <x:v>Read-only; Context content is not loaded</x:v>
      </x:c>
      <x:c r="G6" s="35" t="str"/>
      <x:c r="H6" s="35" t="str">
        <x:v>mem pwd (print the current canonical Context name)</x:v>
      </x:c>
      <x:c r="I6" s="35" t="str">
        <x:v>memcommit/help_catalog/catalog.py</x:v>
      </x:c>
      <x:c r="J6" s="35" t="str">
        <x:v>memcommit/commands/help_inventory.py</x:v>
      </x:c>
    </x:row>
    <x:row r="7" ht="58" customHeight="1">
      <x:c r="A7" s="35" t="str">
        <x:v>CONTEXTS</x:v>
      </x:c>
      <x:c r="B7" s="35" t="str">
        <x:v>contexts</x:v>
      </x:c>
      <x:c r="C7" s="35" t="str">
        <x:v>Browse local Contexts and readable cross-Profile Context views without switching.</x:v>
      </x:c>
      <x:c r="D7" s="35" t="str">
        <x:v>Profile access -&gt; readable Context catalog</x:v>
      </x:c>
      <x:c r="E7" s="35" t="str">
        <x:v>DETERMINISTIC</x:v>
      </x:c>
      <x:c r="F7" s="35" t="str">
        <x:v>Read-only; current Context is unchanged</x:v>
      </x:c>
      <x:c r="G7" s="35" t="str">
        <x:v>All readable Context names</x:v>
      </x:c>
      <x:c r="H7" s="35" t="str">
        <x:v>mem contexts (list local Contexts and granted views)</x:v>
      </x:c>
      <x:c r="I7" s="35" t="str">
        <x:v>memcommit/help_catalog/catalog.py</x:v>
      </x:c>
      <x:c r="J7" s="35" t="str">
        <x:v>memcommit/commands/help_inventory.py</x:v>
      </x:c>
    </x:row>
    <x:row r="8" ht="58" customHeight="1">
      <x:c r="A8" s="35" t="str">
        <x:v>CONTEXTS</x:v>
      </x:c>
      <x:c r="B8" s="35" t="str">
        <x:v>list</x:v>
      </x:c>
      <x:c r="C8" s="35" t="str">
        <x:v>Browse child Contexts and direct items; ls is the equivalent compact spelling.</x:v>
      </x:c>
      <x:c r="D8" s="35" t="str">
        <x:v>Context -&gt; Context and direct-item listing</x:v>
      </x:c>
      <x:c r="E8" s="35" t="str">
        <x:v>DETERMINISTIC</x:v>
      </x:c>
      <x:c r="F8" s="35" t="str">
        <x:v>Read-only</x:v>
      </x:c>
      <x:c r="G8" s="35" t="str">
        <x:v>One exact Context or lexical descendants</x:v>
      </x:c>
      <x:c r="H8" s="35" t="str">
        <x:v>mem list (enter the interactive Context browser in a TTY; print otherwise)
mem list [context] (explicit Context listing)
mem list -r (recursive current-Context listing; -R remains an alias)
mem list [context] -R (recursive Context listing)
mem list --copy (copy and stage the current listing)
mem list [context] --copy (copy and stage an explicit listing)
mem list --paste (reopen the frozen copied result)</x:v>
      </x:c>
      <x:c r="I8" s="35" t="str">
        <x:v>memcommit/help_catalog/catalog.py</x:v>
      </x:c>
      <x:c r="J8" s="35" t="str">
        <x:v>memcommit/commands/help_inventory.py</x:v>
      </x:c>
    </x:row>
    <x:row r="9" ht="58" customHeight="1">
      <x:c r="A9" s="35" t="str">
        <x:v>CONTEXTS</x:v>
      </x:c>
      <x:c r="B9" s="35" t="str">
        <x:v>show</x:v>
      </x:c>
      <x:c r="C9" s="35" t="str">
        <x:v>Show a Memory, reference, embedded Context, or the direct contents of a current/explicit Context.</x:v>
      </x:c>
      <x:c r="D9" s="35" t="str">
        <x:v>Context or direct item -&gt; rendered content</x:v>
      </x:c>
      <x:c r="E9" s="35" t="str">
        <x:v>DETERMINISTIC</x:v>
      </x:c>
      <x:c r="F9" s="35" t="str">
        <x:v>Read-only</x:v>
      </x:c>
      <x:c r="G9" s="35" t="str">
        <x:v>One exact Context or direct item</x:v>
      </x:c>
      <x:c r="H9" s="35" t="str">
        <x:v>mem show (show the direct contents of the current Context)
mem show [item] (show one direct item)
mem show --context [context] (show an explicit Context's direct contents)
mem show [item] --context [context] (show an item in an explicit Context)</x:v>
      </x:c>
      <x:c r="I9" s="35" t="str">
        <x:v>memcommit/help_catalog/catalog.py</x:v>
      </x:c>
      <x:c r="J9" s="35" t="str">
        <x:v>memcommit/commands/help_inventory.py</x:v>
      </x:c>
    </x:row>
    <x:row r="10" ht="58" customHeight="1">
      <x:c r="A10" s="35" t="str">
        <x:v>CONTEXTS</x:v>
      </x:c>
      <x:c r="B10" s="35" t="str">
        <x:v>switch</x:v>
      </x:c>
      <x:c r="C10" s="35" t="str">
        <x:v>Enter the interactive Context picker, or switch to an explicit Context.</x:v>
      </x:c>
      <x:c r="D10" s="35" t="str">
        <x:v>Context locator -&gt; current Context pointer</x:v>
      </x:c>
      <x:c r="E10" s="35" t="str">
        <x:v>DETERMINISTIC</x:v>
      </x:c>
      <x:c r="F10" s="35" t="str">
        <x:v>Changes only the current Context pointer</x:v>
      </x:c>
      <x:c r="G10" s="35" t="str">
        <x:v>One exact existing Context</x:v>
      </x:c>
      <x:c r="H10" s="35" t="str">
        <x:v>mem switch (enter the interactive Context picker)
mem switch [context] (explicit Context)</x:v>
      </x:c>
      <x:c r="I10" s="35" t="str">
        <x:v>memcommit/help_catalog/catalog.py</x:v>
      </x:c>
      <x:c r="J10" s="35" t="str">
        <x:v>memcommit/commands/help_inventory.py</x:v>
      </x:c>
    </x:row>
    <x:row r="11" ht="58" customHeight="1">
      <x:c r="A11" s="35" t="str">
        <x:v>CONTEXTS</x:v>
      </x:c>
      <x:c r="B11" s="35" t="str">
        <x:v>checkout</x:v>
      </x:c>
      <x:c r="C11" s="35" t="str">
        <x:v>Switch Contexts using Git-style syntax; with -b, create and switch to a new Context branch.</x:v>
      </x:c>
      <x:c r="D11" s="35" t="str">
        <x:v>Context locator -&gt; current Context or new branch</x:v>
      </x:c>
      <x:c r="E11" s="35" t="str">
        <x:v>DETERMINISTIC</x:v>
      </x:c>
      <x:c r="F11" s="35" t="str">
        <x:v>Switches Context; -b also creates one</x:v>
      </x:c>
      <x:c r="G11" s="35" t="str">
        <x:v>Branch Source exact or lexical descendants</x:v>
      </x:c>
      <x:c r="H11" s="35" t="str">
        <x:v>mem checkout (enter the Git-style interactive Context picker)
mem checkout [context] (switch using Git-style syntax)
mem checkout -b (choose, create, and switch to a Context branch)
mem checkout -b [new_context] (create and switch to a Context branch)
mem checkout -b [new_context] -r (create and switch to a recursive Context branch)</x:v>
      </x:c>
      <x:c r="I11" s="35" t="str">
        <x:v>memcommit/help_catalog/catalog.py</x:v>
      </x:c>
      <x:c r="J11" s="35" t="str">
        <x:v>memcommit/commands/help_inventory.py</x:v>
      </x:c>
    </x:row>
    <x:row r="12" ht="58" customHeight="1">
      <x:c r="A12" s="35" t="str">
        <x:v>CONTEXTS</x:v>
      </x:c>
      <x:c r="B12" s="35" t="str">
        <x:v>init</x:v>
      </x:c>
      <x:c r="C12" s="35" t="str">
        <x:v>Create a named Context, optionally ensure its parents, and switch to it.</x:v>
      </x:c>
      <x:c r="D12" s="35" t="str">
        <x:v>New Context name -&gt; Context</x:v>
      </x:c>
      <x:c r="E12" s="35" t="str">
        <x:v>DETERMINISTIC</x:v>
      </x:c>
      <x:c r="F12" s="35" t="str">
        <x:v>Creates a Context and switches to it</x:v>
      </x:c>
      <x:c r="G12" s="35" t="str">
        <x:v>One fresh exact name; optional lexical parents</x:v>
      </x:c>
      <x:c r="H12" s="35" t="str">
        <x:v>mem init (edit a suggested fresh Context name, create, and switch)
mem init [context] (create and switch to one Context)
mem init --parents (edit a suggested name and ensure its hierarchy)
mem init [context] --parents (ensure its lexical hierarchy and switch)</x:v>
      </x:c>
      <x:c r="I12" s="35" t="str">
        <x:v>memcommit/help_catalog/catalog.py</x:v>
      </x:c>
      <x:c r="J12" s="35" t="str">
        <x:v>memcommit/commands/help_inventory.py</x:v>
      </x:c>
    </x:row>
    <x:row r="13" ht="58" customHeight="1">
      <x:c r="A13" s="35" t="str">
        <x:v>CONTEXTS</x:v>
      </x:c>
      <x:c r="B13" s="35" t="str">
        <x:v>branch</x:v>
      </x:c>
      <x:c r="C13" s="35" t="str">
        <x:v>Copy a Context or subtree into a new branch and switch to it.</x:v>
      </x:c>
      <x:c r="D13" s="35" t="str">
        <x:v>Context -&gt; new Context branch</x:v>
      </x:c>
      <x:c r="E13" s="35" t="str">
        <x:v>DETERMINISTIC</x:v>
      </x:c>
      <x:c r="F13" s="35" t="str">
        <x:v>Creates a Context and switches to it</x:v>
      </x:c>
      <x:c r="G13" s="35" t="str">
        <x:v>Source exact or lexical descendants</x:v>
      </x:c>
      <x:c r="H13" s="35" t="str">
        <x:v>mem branch (choose a local Source, parent location, and fresh target)
mem branch [new_context] (branch the current Context and switch)
mem branch [new_context] -r (branch the current Context subtree)</x:v>
      </x:c>
      <x:c r="I13" s="35" t="str">
        <x:v>memcommit/help_catalog/catalog.py</x:v>
      </x:c>
      <x:c r="J13" s="35" t="str">
        <x:v>memcommit/commands/help_inventory.py</x:v>
      </x:c>
    </x:row>
    <x:row r="14" ht="58" customHeight="1">
      <x:c r="A14" s="35" t="str">
        <x:v>CONTEXTS</x:v>
      </x:c>
      <x:c r="B14" s="35" t="str">
        <x:v>import</x:v>
      </x:c>
      <x:c r="C14" s="35" t="str">
        <x:v>Import a clean-baseline Profile, Context tree, or Memory by value while preserving resource identity.</x:v>
      </x:c>
      <x:c r="D14" s="35" t="str">
        <x:v>External resource -&gt; local owned copy</x:v>
      </x:c>
      <x:c r="E14" s="35" t="str">
        <x:v>DETERMINISTIC</x:v>
      </x:c>
      <x:c r="F14" s="35" t="str">
        <x:v>Creates or changes local owned resources</x:v>
      </x:c>
      <x:c r="G14" s="35" t="str">
        <x:v>Profile, exact Context, subtree, or one Memory</x:v>
      </x:c>
      <x:c r="H14" s="35" t="str">
        <x:v>mem import (choose a non-active source and import Profile, Context, or Memory)
mem import profile [profile_name] --from [store] (clean baseline from an external store)
mem import profile [profile_name] --from-profile [source_profile] (clean baseline from a registered Profile)
mem import context [source_context] --from-profile [source_profile] (one Context root)
mem import context [source_context] --from-profile [source_profile] --as [new_root] (renamed Context root)
mem import context [source_context] --from-profile [source_profile] -r (Context tree)
mem import memory [memory] --from-profile [source_profile] --context [source_context] (into current Context)
mem import memory [memory] --from-profile [source_profile] --context [source_context] --into [target_context]
mem import [profile_name] --from [store] (legacy clean-baseline Profile spelling)</x:v>
      </x:c>
      <x:c r="I14" s="35" t="str">
        <x:v>memcommit/help_catalog/catalog.py</x:v>
      </x:c>
      <x:c r="J14" s="35" t="str">
        <x:v>memcommit/commands/help_inventory.py</x:v>
      </x:c>
    </x:row>
    <x:row r="15" ht="58" customHeight="1">
      <x:c r="A15" s="35" t="str">
        <x:v>CONTEXTS</x:v>
      </x:c>
      <x:c r="B15" s="35" t="str">
        <x:v>embed</x:v>
      </x:c>
      <x:c r="C15" s="35" t="str">
        <x:v>Place a Child Context inside a target while retaining its identity and ownership.</x:v>
      </x:c>
      <x:c r="D15" s="35" t="str">
        <x:v>Child Context -&gt; parent Context placement</x:v>
      </x:c>
      <x:c r="E15" s="35" t="str">
        <x:v>DETERMINISTIC</x:v>
      </x:c>
      <x:c r="F15" s="35" t="str">
        <x:v>Changes target structure; Child identity is retained</x:v>
      </x:c>
      <x:c r="G15" s="35" t="str">
        <x:v>One Child and one exact target</x:v>
      </x:c>
      <x:c r="H15" s="35" t="str">
        <x:v>mem embed (choose Child, target, and insertion gap interactively)
mem embed [child_context] --into [target_context] (append)
mem embed [child_context] --into [target_context] --before [item]
mem embed [child_context] --into [target_context] --after [item]</x:v>
      </x:c>
      <x:c r="I15" s="35" t="str">
        <x:v>memcommit/help_catalog/catalog.py</x:v>
      </x:c>
      <x:c r="J15" s="35" t="str">
        <x:v>memcommit/commands/help_inventory.py</x:v>
      </x:c>
    </x:row>
    <x:row r="16" ht="58" customHeight="1">
      <x:c r="A16" s="35" t="str">
        <x:v>MEMORIES</x:v>
      </x:c>
      <x:c r="B16" s="35" t="str">
        <x:v>add</x:v>
      </x:c>
      <x:c r="C16" s="35" t="str">
        <x:v>Add one or more Memories to the current or explicit Context.</x:v>
      </x:c>
      <x:c r="D16" s="35" t="str">
        <x:v>Text or file -&gt; Context Memories</x:v>
      </x:c>
      <x:c r="E16" s="35" t="str">
        <x:v>DETERMINISTIC</x:v>
      </x:c>
      <x:c r="F16" s="35" t="str">
        <x:v>Changes the selected Context</x:v>
      </x:c>
      <x:c r="G16" s="35" t="str">
        <x:v>One exact target Context</x:v>
      </x:c>
      <x:c r="H16" s="35" t="str">
        <x:v>mem add "[memory]" (add one Memory to the current Context)
mem add (open the interactive multi-Memory editor)
mem add --memory "[memory]" --memory "[memory]" (add an explicit batch)
mem add --input [file] (add one Memory per non-empty line)
mem add --paste (paste one or more Memories)
mem add "[memory]" --context [context] (add to an explicit Context)
mem add --input [file] --context [context] (batch-add to an explicit Context)
mem add --paste --context [context] (paste into an explicit Context)</x:v>
      </x:c>
      <x:c r="I16" s="35" t="str">
        <x:v>memcommit/help_catalog/catalog.py</x:v>
      </x:c>
      <x:c r="J16" s="35" t="str">
        <x:v>memcommit/commands/help_inventory.py</x:v>
      </x:c>
    </x:row>
    <x:row r="17" ht="58" customHeight="1">
      <x:c r="A17" s="35" t="str">
        <x:v>MEMORIES</x:v>
      </x:c>
      <x:c r="B17" s="35" t="str">
        <x:v>reference</x:v>
      </x:c>
      <x:c r="C17" s="35" t="str">
        <x:v>Add a read-only Memory pointer; the Target stores identity metadata rather than copying content.</x:v>
      </x:c>
      <x:c r="D17" s="35" t="str">
        <x:v>Source Memory -&gt; Target Context reference</x:v>
      </x:c>
      <x:c r="E17" s="35" t="str">
        <x:v>DETERMINISTIC</x:v>
      </x:c>
      <x:c r="F17" s="35" t="str">
        <x:v>Adds reference metadata to the Target</x:v>
      </x:c>
      <x:c r="G17" s="35" t="str">
        <x:v>One direct Source Memory and one exact Target</x:v>
      </x:c>
      <x:c r="H17" s="35" t="str">
        <x:v>mem reference [memory] --from [source_context] (add to current Context)
mem reference [memory] --from [source_context] --into [target_context]</x:v>
      </x:c>
      <x:c r="I17" s="35" t="str">
        <x:v>memcommit/help_catalog/catalog.py</x:v>
      </x:c>
      <x:c r="J17" s="35" t="str">
        <x:v>memcommit/commands/help_inventory.py</x:v>
      </x:c>
    </x:row>
    <x:row r="18" ht="58" customHeight="1">
      <x:c r="A18" s="35" t="str">
        <x:v>MEMORIES</x:v>
      </x:c>
      <x:c r="B18" s="35" t="str">
        <x:v>edit</x:v>
      </x:c>
      <x:c r="C18" s="35" t="str">
        <x:v>Replace direct Memory content by UID or prefix in the current or explicit Context.</x:v>
      </x:c>
      <x:c r="D18" s="35" t="str">
        <x:v>Memory -&gt; replacement Memory content</x:v>
      </x:c>
      <x:c r="E18" s="35" t="str">
        <x:v>DETERMINISTIC</x:v>
      </x:c>
      <x:c r="F18" s="35" t="str">
        <x:v>Changes one direct Memory</x:v>
      </x:c>
      <x:c r="G18" s="35" t="str">
        <x:v>One direct Memory in one exact Context</x:v>
      </x:c>
      <x:c r="H18" s="35" t="str">
        <x:v>mem edit [memory] "[new_content]" (replace one direct Memory)
mem edit --input [file] (replace Memories from a batch file)
mem edit [memory] "[new_content]" --context [context] (explicit Context)
mem edit --input [file] --context [context] (batch-edit an explicit Context)</x:v>
      </x:c>
      <x:c r="I18" s="35" t="str">
        <x:v>memcommit/help_catalog/catalog.py</x:v>
      </x:c>
      <x:c r="J18" s="35" t="str">
        <x:v>memcommit/commands/help_inventory.py</x:v>
      </x:c>
    </x:row>
    <x:row r="19" ht="58" customHeight="1">
      <x:c r="A19" s="35" t="str">
        <x:v>MEMORIES</x:v>
      </x:c>
      <x:c r="B19" s="35" t="str">
        <x:v>chunk</x:v>
      </x:c>
      <x:c r="C19" s="35" t="str">
        <x:v>Preview and split one direct Memory by headers, paragraphs, or sentences.</x:v>
      </x:c>
      <x:c r="D19" s="35" t="str">
        <x:v>Memory -&gt; ordered Memory chunks</x:v>
      </x:c>
      <x:c r="E19" s="35" t="str">
        <x:v>DETERMINISTIC</x:v>
      </x:c>
      <x:c r="F19" s="35" t="str">
        <x:v>Changes the Source Context after confirmation</x:v>
      </x:c>
      <x:c r="G19" s="35" t="str">
        <x:v>One direct Memory</x:v>
      </x:c>
      <x:c r="H19" s="35" t="str">
        <x:v>mem chunk [memory] (preview a paragraph split, then confirm)
mem chunk [memory] --method [method] (markdown_headers, paragraphs, or sentences)</x:v>
      </x:c>
      <x:c r="I19" s="35" t="str">
        <x:v>memcommit/help_catalog/catalog.py</x:v>
      </x:c>
      <x:c r="J19" s="35" t="str">
        <x:v>memcommit/commands/help_inventory.py</x:v>
      </x:c>
    </x:row>
    <x:row r="20" ht="58" customHeight="1">
      <x:c r="A20" s="35" t="str">
        <x:v>MEMORIES</x:v>
      </x:c>
      <x:c r="B20" s="35" t="str">
        <x:v>forget</x:v>
      </x:c>
      <x:c r="C20" s="35" t="str">
        <x:v>Review keep/edit/delete decisions for one instruction, then apply the accepted batch.</x:v>
      </x:c>
      <x:c r="D20" s="35" t="str">
        <x:v>Context + instruction -&gt; reviewed curation batch</x:v>
      </x:c>
      <x:c r="E20" s="35" t="str">
        <x:v>SEMANTIC</x:v>
      </x:c>
      <x:c r="F20" s="35" t="str">
        <x:v>Changes Source only after reviewed acceptance</x:v>
      </x:c>
      <x:c r="G20" s="35" t="str">
        <x:v>One exact direct Source frame</x:v>
      </x:c>
      <x:c r="H20" s="35" t="str">
        <x:v>mem forget (enter interactive instruction and direct-Source setup)
mem forget "[instruction]" (review and apply selective forgetting)</x:v>
      </x:c>
      <x:c r="I20" s="35" t="str">
        <x:v>memcommit/help_catalog/catalog.py</x:v>
      </x:c>
      <x:c r="J20" s="35" t="str">
        <x:v>memcommit/commands/help_inventory.py</x:v>
      </x:c>
    </x:row>
    <x:row r="21" ht="58" customHeight="1">
      <x:c r="A21" s="35" t="str">
        <x:v>MEMORIES</x:v>
      </x:c>
      <x:c r="B21" s="35" t="str">
        <x:v>delete</x:v>
      </x:c>
      <x:c r="C21" s="35" t="str">
        <x:v>Select a Context or direct item to delete, or name it by locator, name, or UID.</x:v>
      </x:c>
      <x:c r="D21" s="35" t="str">
        <x:v>Context or direct item -&gt; removed</x:v>
      </x:c>
      <x:c r="E21" s="35" t="str">
        <x:v>DETERMINISTIC</x:v>
      </x:c>
      <x:c r="F21" s="35" t="str">
        <x:v>Destructive change after confirmation</x:v>
      </x:c>
      <x:c r="G21" s="35" t="str">
        <x:v>One exact Context or direct item</x:v>
      </x:c>
      <x:c r="H21" s="35" t="str">
        <x:v>mem delete [item] (delete a Context or current direct item)
mem delete (select a Context or direct item interactively)
mem delete [item] --context [context] (explicit direct-item scope)</x:v>
      </x:c>
      <x:c r="I21" s="35" t="str">
        <x:v>memcommit/help_catalog/catalog.py</x:v>
      </x:c>
      <x:c r="J21" s="35" t="str">
        <x:v>memcommit/commands/help_inventory.py</x:v>
      </x:c>
    </x:row>
    <x:row r="22" ht="58" customHeight="1">
      <x:c r="A22" s="35" t="str">
        <x:v>MEMORIES</x:v>
      </x:c>
      <x:c r="B22" s="35" t="str">
        <x:v>clear</x:v>
      </x:c>
      <x:c r="C22" s="35" t="str">
        <x:v>Remove all direct items from the current or explicit Context after confirmation.</x:v>
      </x:c>
      <x:c r="D22" s="35" t="str">
        <x:v>Context direct items -&gt; empty Context</x:v>
      </x:c>
      <x:c r="E22" s="35" t="str">
        <x:v>DETERMINISTIC</x:v>
      </x:c>
      <x:c r="F22" s="35" t="str">
        <x:v>Destructive Context change after confirmation</x:v>
      </x:c>
      <x:c r="G22" s="35" t="str">
        <x:v>One exact Context</x:v>
      </x:c>
      <x:c r="H22" s="35" t="str">
        <x:v>mem clear (clear the current Context after confirmation)
mem clear [context] (clear an explicit Context after confirmation)</x:v>
      </x:c>
      <x:c r="I22" s="35" t="str">
        <x:v>memcommit/help_catalog/catalog.py</x:v>
      </x:c>
      <x:c r="J22" s="35" t="str">
        <x:v>memcommit/commands/help_inventory.py</x:v>
      </x:c>
    </x:row>
    <x:row r="23" ht="58" customHeight="1">
      <x:c r="A23" s="35" t="str">
        <x:v>SEARCH &amp; EXPLAIN</x:v>
      </x:c>
      <x:c r="B23" s="35" t="str">
        <x:v>find</x:v>
      </x:c>
      <x:c r="C23" s="35" t="str">
        <x:v>Search selected Contexts with explicit lexical-descendant and embedded-Context reach.</x:v>
      </x:c>
      <x:c r="D23" s="35" t="str">
        <x:v>Context set + query -&gt; ranked Memories</x:v>
      </x:c>
      <x:c r="E23" s="35" t="str">
        <x:v>SEMANTIC</x:v>
      </x:c>
      <x:c r="F23" s="35" t="str">
        <x:v>Read-only search</x:v>
      </x:c>
      <x:c r="G23" s="35" t="str">
        <x:v>Selected roots; lexical and embedded reach are independent</x:v>
      </x:c>
      <x:c r="H23" s="35" t="str">
        <x:v>mem find (interactive search, checked COPY/REFERENCE, and Save Location)
mem find "[query]" (direct current Context scope)
mem find -r "[query]" (namespace descendants and embedded Contexts)
mem find "[temporal_query]" (retained history when the query explicitly asks about time)
mem find --context [context] "[query]" (direct explicit Context root)
mem find --context [context1] --context [context2] --descendants "[query]" (multiple roots with lexical descendants)
mem find --context-only --follow-embeds "[query]" (exact lexical roots while following embedded Contexts)
mem find --descendants --exclude-embeds "[query]" (lexical subtrees without embedded traversal)
mem find -d "[query]" (direct preset: context-only plus exclude-embeds)</x:v>
      </x:c>
      <x:c r="I23" s="35" t="str">
        <x:v>memcommit/help_catalog/catalog.py</x:v>
      </x:c>
      <x:c r="J23" s="35" t="str">
        <x:v>memcommit/commands/help_inventory.py</x:v>
      </x:c>
    </x:row>
    <x:row r="24" ht="58" customHeight="1">
      <x:c r="A24" s="35" t="str">
        <x:v>SEARCH &amp; EXPLAIN</x:v>
      </x:c>
      <x:c r="B24" s="35" t="str">
        <x:v>query</x:v>
      </x:c>
      <x:c r="C24" s="35" t="str">
        <x:v>Ask readable Context knowledge or an authorized concealed query-only view.</x:v>
      </x:c>
      <x:c r="D24" s="35" t="str">
        <x:v>Readable source + question -&gt; answer with references</x:v>
      </x:c>
      <x:c r="E24" s="35" t="str">
        <x:v>SEMANTIC</x:v>
      </x:c>
      <x:c r="F24" s="35" t="str">
        <x:v>No Context content changes; visible transcript may be retained</x:v>
      </x:c>
      <x:c r="G24" s="35" t="str">
        <x:v>Exact, descendants, embeds, or authorized query-only view</x:v>
      </x:c>
      <x:c r="H24" s="35" t="str">
        <x:v>mem query (open the interactive Question, Source, and saved transcript workbench)
mem query "[question]" (ask the direct current ordinary Context)
mem query -r "[question]" (include descendants and embedded Contexts)
mem query --context [context] "[question]" (ask an explicit ordinary Context)
mem query [query_view] (browse opaque Memory handles)
mem query [query_view] "[question]" (ask a query-only view)
mem query [query_view]#[memory_handle] "[question]" (ask one opaque Memory)
mem query [query_view] "[question]" --language [language] (explicit source language)
mem query [query_view] "[question]" --session [session_name] (retain visible Q/A)
mem query --sessions (list saved query transcripts)
mem query --show-session [session_name] (show one saved transcript)</x:v>
      </x:c>
      <x:c r="I24" s="35" t="str">
        <x:v>memcommit/help_catalog/catalog.py</x:v>
      </x:c>
      <x:c r="J24" s="35" t="str">
        <x:v>memcommit/commands/help_inventory.py</x:v>
      </x:c>
    </x:row>
    <x:row r="25" ht="58" customHeight="1">
      <x:c r="A25" s="35" t="str">
        <x:v>SEARCH &amp; EXPLAIN</x:v>
      </x:c>
      <x:c r="B25" s="35" t="str">
        <x:v>summarize</x:v>
      </x:c>
      <x:c r="C25" s="35" t="str">
        <x:v>Show what Mem understands from a Context's visible ordinary Memories.</x:v>
      </x:c>
      <x:c r="D25" s="35" t="str">
        <x:v>Context -&gt; summary</x:v>
      </x:c>
      <x:c r="E25" s="35" t="str">
        <x:v>SEMANTIC</x:v>
      </x:c>
      <x:c r="F25" s="35" t="str">
        <x:v>Read-only</x:v>
      </x:c>
      <x:c r="G25" s="35" t="str">
        <x:v>Exact Context or descendants plus embedded Contexts</x:v>
      </x:c>
      <x:c r="H25" s="35" t="str">
        <x:v>mem summarize (direct summary of the current Context)
mem summarize [context] (direct summary of an explicit Context)
mem summarize -r (recursive summary of the current Context)
mem summarize [context] -r (lexical descendants and embedded Contexts)
mem summarize [context] --copy (copy verified direct understanding as plain text)</x:v>
      </x:c>
      <x:c r="I25" s="35" t="str">
        <x:v>memcommit/help_catalog/catalog.py</x:v>
      </x:c>
      <x:c r="J25" s="35" t="str">
        <x:v>memcommit/commands/help_inventory.py</x:v>
      </x:c>
    </x:row>
    <x:row r="26" ht="58" customHeight="1">
      <x:c r="A26" s="35" t="str">
        <x:v>SEARCH &amp; EXPLAIN</x:v>
      </x:c>
      <x:c r="B26" s="35" t="str">
        <x:v>trace</x:v>
      </x:c>
      <x:c r="C26" s="35" t="str">
        <x:v>Trace one retained Memory through its recorded lineage.</x:v>
      </x:c>
      <x:c r="D26" s="35" t="str">
        <x:v>Memory -&gt; retained lineage</x:v>
      </x:c>
      <x:c r="E26" s="35" t="str">
        <x:v>DETERMINISTIC</x:v>
      </x:c>
      <x:c r="F26" s="35" t="str">
        <x:v>Read-only</x:v>
      </x:c>
      <x:c r="G26" s="35" t="str">
        <x:v>One current or historical Memory</x:v>
      </x:c>
      <x:c r="H26" s="35" t="str">
        <x:v>mem trace (open Recents or browse local Contexts, then select a Memory)
mem trace [memory] (shorthand for mem log --memory [memory])
mem trace --context [context] (start Memory selection in one local Context)
mem trace [memory] --context [context] (explicit Context and Memory)
mem trace [memory] --plain (print instead of opening History explorer)</x:v>
      </x:c>
      <x:c r="I26" s="35" t="str">
        <x:v>memcommit/help_catalog/catalog.py</x:v>
      </x:c>
      <x:c r="J26" s="35" t="str">
        <x:v>memcommit/commands/help_inventory.py</x:v>
      </x:c>
    </x:row>
    <x:row r="27" ht="58" customHeight="1">
      <x:c r="A27" s="35" t="str">
        <x:v>SEARCH &amp; EXPLAIN</x:v>
      </x:c>
      <x:c r="B27" s="35" t="str">
        <x:v>rationale</x:v>
      </x:c>
      <x:c r="C27" s="35" t="str">
        <x:v>Explain one Memory from recorded provenance and, when needed, inference.</x:v>
      </x:c>
      <x:c r="D27" s="35" t="str">
        <x:v>Memory provenance -&gt; rationale</x:v>
      </x:c>
      <x:c r="E27" s="35" t="str">
        <x:v>MIXED</x:v>
      </x:c>
      <x:c r="F27" s="35" t="str">
        <x:v>Read-only</x:v>
      </x:c>
      <x:c r="G27" s="35" t="str">
        <x:v>One current or historical Memory</x:v>
      </x:c>
      <x:c r="H27" s="35" t="str">
        <x:v>mem rationale (open Recents or browse readable Contexts, then select a Memory)
mem rationale [memory] (explain one current or historical Memory)
mem rationale --context [context] (start Memory selection in one readable Context)
mem rationale [memory] --context [context] (explicit Context and Memory)
mem rationale [memory] --recorded-only (skip inference and its cache)</x:v>
      </x:c>
      <x:c r="I27" s="35" t="str">
        <x:v>memcommit/help_catalog/catalog.py</x:v>
      </x:c>
      <x:c r="J27" s="35" t="str">
        <x:v>memcommit/commands/help_inventory.py</x:v>
      </x:c>
    </x:row>
    <x:row r="28" ht="58" customHeight="1">
      <x:c r="A28" s="35" t="str">
        <x:v>SEARCH &amp; EXPLAIN</x:v>
      </x:c>
      <x:c r="B28" s="35" t="str">
        <x:v>find-duplicates</x:v>
      </x:c>
      <x:c r="C28" s="35" t="str">
        <x:v>Report duplicate direct Memories in the current or explicit Context; no Context changes.</x:v>
      </x:c>
      <x:c r="D28" s="35" t="str">
        <x:v>Context Memories -&gt; duplicate report</x:v>
      </x:c>
      <x:c r="E28" s="35" t="str">
        <x:v>SEMANTIC</x:v>
      </x:c>
      <x:c r="F28" s="35" t="str">
        <x:v>No Context content changes</x:v>
      </x:c>
      <x:c r="G28" s="35" t="str">
        <x:v>One exact direct Context</x:v>
      </x:c>
      <x:c r="H28" s="35" t="str">
        <x:v>mem find-duplicates (current Context; no changes)
mem find-duplicates --context [context] (explicit Context; no changes)</x:v>
      </x:c>
      <x:c r="I28" s="35" t="str">
        <x:v>memcommit/help_catalog/catalog.py</x:v>
      </x:c>
      <x:c r="J28" s="35" t="str">
        <x:v>memcommit/commands/help_inventory.py</x:v>
      </x:c>
    </x:row>
    <x:row r="29" ht="58" customHeight="1">
      <x:c r="A29" s="35" t="str">
        <x:v>SEARCH &amp; EXPLAIN</x:v>
      </x:c>
      <x:c r="B29" s="35" t="str">
        <x:v>find-ambiguities</x:v>
      </x:c>
      <x:c r="C29" s="35" t="str">
        <x:v>Report ambiguous direct Memories in the current or explicit Context; no Context changes.</x:v>
      </x:c>
      <x:c r="D29" s="35" t="str">
        <x:v>Context Memories -&gt; ambiguity report</x:v>
      </x:c>
      <x:c r="E29" s="35" t="str">
        <x:v>SEMANTIC</x:v>
      </x:c>
      <x:c r="F29" s="35" t="str">
        <x:v>No Context content changes</x:v>
      </x:c>
      <x:c r="G29" s="35" t="str">
        <x:v>One exact direct Context</x:v>
      </x:c>
      <x:c r="H29" s="35" t="str">
        <x:v>mem find-ambiguities (current Context; no changes)
mem find-ambiguities --context [context] (explicit Context; no changes)</x:v>
      </x:c>
      <x:c r="I29" s="35" t="str">
        <x:v>memcommit/help_catalog/catalog.py</x:v>
      </x:c>
      <x:c r="J29" s="35" t="str">
        <x:v>memcommit/commands/help_inventory.py</x:v>
      </x:c>
    </x:row>
    <x:row r="30" ht="58" customHeight="1">
      <x:c r="A30" s="35" t="str">
        <x:v>SEARCH &amp; EXPLAIN</x:v>
      </x:c>
      <x:c r="B30" s="35" t="str">
        <x:v>find-conflicts</x:v>
      </x:c>
      <x:c r="C30" s="35" t="str">
        <x:v>Report conflicting direct Memory pairs in the current or explicit Context; no Context changes.</x:v>
      </x:c>
      <x:c r="D30" s="35" t="str">
        <x:v>Context Memories -&gt; conflict report</x:v>
      </x:c>
      <x:c r="E30" s="35" t="str">
        <x:v>SEMANTIC</x:v>
      </x:c>
      <x:c r="F30" s="35" t="str">
        <x:v>No Context content changes</x:v>
      </x:c>
      <x:c r="G30" s="35" t="str">
        <x:v>One exact direct Context</x:v>
      </x:c>
      <x:c r="H30" s="35" t="str">
        <x:v>mem find-conflicts (current Context; no changes)
mem find-conflicts --context [context] (explicit Context; no changes)</x:v>
      </x:c>
      <x:c r="I30" s="35" t="str">
        <x:v>memcommit/help_catalog/catalog.py</x:v>
      </x:c>
      <x:c r="J30" s="35" t="str">
        <x:v>memcommit/commands/help_inventory.py</x:v>
      </x:c>
    </x:row>
    <x:row r="31" ht="58" customHeight="1">
      <x:c r="A31" s="35" t="str">
        <x:v>ANALYZE &amp; TRANSFORM</x:v>
      </x:c>
      <x:c r="B31" s="35" t="str">
        <x:v>audit</x:v>
      </x:c>
      <x:c r="C31" s="35" t="str">
        <x:v>Run Duplicate, Ambiguity, and Conflict checks and review one saved report.</x:v>
      </x:c>
      <x:c r="D31" s="35" t="str">
        <x:v>Context -&gt; saved quality report</x:v>
      </x:c>
      <x:c r="E31" s="35" t="str">
        <x:v>SEMANTIC</x:v>
      </x:c>
      <x:c r="F31" s="35" t="str">
        <x:v>No Context content changes</x:v>
      </x:c>
      <x:c r="G31" s="35" t="str">
        <x:v>One exact direct Context</x:v>
      </x:c>
      <x:c r="H31" s="35" t="str">
        <x:v>mem audit (choose one Context, run Duplicate + Ambiguity + Conflict, save, and review)
mem audit --context [context] (run and save all three finders for one exact Context)
mem audit --context [context] --snapshot (save and print the combined report)</x:v>
      </x:c>
      <x:c r="I31" s="35" t="str">
        <x:v>memcommit/help_catalog/catalog.py</x:v>
      </x:c>
      <x:c r="J31" s="35" t="str">
        <x:v>memcommit/commands/help_inventory.py</x:v>
      </x:c>
    </x:row>
    <x:row r="32" ht="58" customHeight="1">
      <x:c r="A32" s="35" t="str">
        <x:v>ANALYZE &amp; TRANSFORM</x:v>
      </x:c>
      <x:c r="B32" s="35" t="str">
        <x:v>atomize</x:v>
      </x:c>
      <x:c r="C32" s="35" t="str">
        <x:v>Split composite Memories for review; --evaluate performs an issue-scoped directional meld.</x:v>
      </x:c>
      <x:c r="D32" s="35" t="str">
        <x:v>Context Memories -&gt; reviewed atomic Memories</x:v>
      </x:c>
      <x:c r="E32" s="35" t="str">
        <x:v>SEMANTIC</x:v>
      </x:c>
      <x:c r="F32" s="35" t="str">
        <x:v>Changes material only after explicit acceptance</x:v>
      </x:c>
      <x:c r="G32" s="35" t="str">
        <x:v>One selected Context frame</x:v>
      </x:c>
      <x:c r="H32" s="35" t="str">
        <x:v>mem atomize (enter the current Context's interactive Atomize session)
mem atomize --context [context] (enter that Context's interactive Atomize session)
mem atomize --sessions (enter the interactive Atomize session launcher)
mem atomize --evaluate "[issue]" (directional atomic review)</x:v>
      </x:c>
      <x:c r="I32" s="35" t="str">
        <x:v>memcommit/help_catalog/catalog.py</x:v>
      </x:c>
      <x:c r="J32" s="35" t="str">
        <x:v>memcommit/commands/help_inventory.py</x:v>
      </x:c>
    </x:row>
    <x:row r="33" ht="58" customHeight="1">
      <x:c r="A33" s="35" t="str">
        <x:v>ANALYZE &amp; TRANSFORM</x:v>
      </x:c>
      <x:c r="B33" s="35" t="str">
        <x:v>distill</x:v>
      </x:c>
      <x:c r="C33" s="35" t="str">
        <x:v>Derive evidence-bound reusable Rules from a Context, optionally guided by a Goal.</x:v>
      </x:c>
      <x:c r="D33" s="35" t="str">
        <x:v>Goal? + Source Context -&gt; reviewed Rule Context</x:v>
      </x:c>
      <x:c r="E33" s="35" t="str">
        <x:v>SEMANTIC</x:v>
      </x:c>
      <x:c r="F33" s="35" t="str">
        <x:v>Source stays unchanged; only explicit Apply creates a new Result</x:v>
      </x:c>
      <x:c r="G33" s="35" t="str">
        <x:v>One exact local Source or its readable descendants</x:v>
      </x:c>
      <x:c r="H33" s="35" t="str">
        <x:v>mem distill (review Rules distilled from the current Context)
mem distill [context] (review Rules from one explicit Context)
mem distill [context] --goal "[goal]" (guide Rule relevance with a Goal)
mem distill [context] -r (include descendants and embedded Contexts)
mem distill [context] --save-as [result_context] (review without creating the Result)
mem distill [context] --save-as [result_context] --apply (create the exact reviewed Rule Context)</x:v>
      </x:c>
      <x:c r="I33" s="35" t="str">
        <x:v>memcommit/help_catalog/catalog.py</x:v>
      </x:c>
      <x:c r="J33" s="35" t="str">
        <x:v>memcommit/commands/help_inventory.py</x:v>
      </x:c>
    </x:row>
    <x:row r="34" ht="58" customHeight="1">
      <x:c r="A34" s="35" t="str">
        <x:v>ANALYZE &amp; TRANSFORM</x:v>
      </x:c>
      <x:c r="B34" s="35" t="str">
        <x:v>compare</x:v>
      </x:c>
      <x:c r="C34" s="35" t="str">
        <x:v>Compare two equal-authority Contexts without changing either one.</x:v>
      </x:c>
      <x:c r="D34" s="35" t="str">
        <x:v>Context &lt;-&gt; Context -&gt; comparison report</x:v>
      </x:c>
      <x:c r="E34" s="35" t="str">
        <x:v>SEMANTIC</x:v>
      </x:c>
      <x:c r="F34" s="35" t="str">
        <x:v>No Context content changes</x:v>
      </x:c>
      <x:c r="G34" s="35" t="str">
        <x:v>Each side exact or readable descendants</x:v>
      </x:c>
      <x:c r="H34" s="35" t="str">
        <x:v>mem compare (enter the interactive Compare session launcher)
mem compare --sessions (enter the interactive Compare session launcher)
mem compare --to [context2] (current Context is context1)
mem compare --from [context1] --to [context2] (explicit Contexts)
mem compare --from [context1] --to [context2] -r (both readable subtrees)
mem compare --from [context1] --to [context2] --reference-descendants --compared-descendants (include each readable subtree)</x:v>
      </x:c>
      <x:c r="I34" s="35" t="str">
        <x:v>memcommit/help_catalog/catalog.py</x:v>
      </x:c>
      <x:c r="J34" s="35" t="str">
        <x:v>memcommit/commands/help_inventory.py</x:v>
      </x:c>
    </x:row>
    <x:row r="35" ht="58" customHeight="1">
      <x:c r="A35" s="35" t="str">
        <x:v>ANALYZE &amp; TRANSFORM</x:v>
      </x:c>
      <x:c r="B35" s="35" t="str">
        <x:v>impact</x:v>
      </x:c>
      <x:c r="C35" s="35" t="str">
        <x:v>Preview or inspect operation Impact; no Context changes occur before its reviewed Apply handoff.</x:v>
      </x:c>
      <x:c r="D35" s="35" t="str">
        <x:v>Operation inputs or session -&gt; impact report</x:v>
      </x:c>
      <x:c r="E35" s="35" t="str">
        <x:v>MIXED</x:v>
      </x:c>
      <x:c r="F35" s="35" t="str">
        <x:v>Impact is read-only; Apply is a separate reviewed handoff</x:v>
      </x:c>
      <x:c r="G35" s="35" t="str">
        <x:v>Operation-owned Source and Target ranges</x:v>
      </x:c>
      <x:c r="H35" s="35" t="str">
        <x:v>mem impact atomize (preview atomization of the current Context)
mem impact atomize --context [context] (preview atomization of one Context)
mem impact meld (inspect a saved Meld Impact; APPLY? opens its Apply flow)
mem impact meld --session [uid] (inspect an exact saved Meld Impact; APPLY? opens its Apply flow)
mem impact sever (inspect a saved Sever Impact; APPLY? opens its Apply flow)
mem impact sever --session [uid] (inspect an exact saved Sever Impact; APPLY? opens its Apply flow)
mem impact update (inspect the saved Update Impact; APPLY? opens its Apply flow)
mem impact update --session [uid] (inspect the exact saved Update Impact; APPLY? opens its Apply flow)
mem impact --from [source_context] --to [target_context] (directional preview)
mem impact -r --from [source_context] --to [target_context] (recursive endpoints)
mem impact --from [source_context] (current Context is target)
mem impact --to [target_context] (current Context is source)</x:v>
      </x:c>
      <x:c r="I35" s="35" t="str">
        <x:v>memcommit/help_catalog/catalog.py</x:v>
      </x:c>
      <x:c r="J35" s="35" t="str">
        <x:v>memcommit/commands/help_inventory.py</x:v>
      </x:c>
    </x:row>
    <x:row r="36" ht="58" customHeight="1">
      <x:c r="A36" s="35" t="str">
        <x:v>ANALYZE &amp; TRANSFORM</x:v>
      </x:c>
      <x:c r="B36" s="35" t="str">
        <x:v>review</x:v>
      </x:c>
      <x:c r="C36" s="35" t="str">
        <x:v>Enter an interactive Review session or stage semantic review responses; never apply Memories.</x:v>
      </x:c>
      <x:c r="D36" s="35" t="str">
        <x:v>Saved analysis -&gt; review responses</x:v>
      </x:c>
      <x:c r="E36" s="35" t="str">
        <x:v>MIXED</x:v>
      </x:c>
      <x:c r="F36" s="35" t="str">
        <x:v>No Context content changes</x:v>
      </x:c>
      <x:c r="G36" s="35" t="str">
        <x:v>One saved operation artifact</x:v>
      </x:c>
      <x:c r="H36" s="35" t="str">
        <x:v>mem review (enter the interactive Review session)
mem review audit (open a saved three-finder Audit)
mem review compare (open a saved Compare report)
mem review meld (open a saved Meld report)
mem review sever (open a saved Sever report)
mem review update (open the saved Update report)
mem review [kind] --session [uid] (exact Audit, Compare, Meld, Sever, or Update artifact)
mem review atomize (open the current Context's saved Atomize analysis)
mem review atomize --context [context] (Context-bound Atomize review)
mem review ambiguities (analyze current-Context ambiguities)
mem review ambiguities --context [context] (Context-bound Ambiguity review)</x:v>
      </x:c>
      <x:c r="I36" s="35" t="str">
        <x:v>memcommit/help_catalog/catalog.py</x:v>
      </x:c>
      <x:c r="J36" s="35" t="str">
        <x:v>memcommit/commands/help_inventory.py</x:v>
      </x:c>
    </x:row>
    <x:row r="37" ht="58" customHeight="1">
      <x:c r="A37" s="35" t="str">
        <x:v>ANALYZE &amp; TRANSFORM</x:v>
      </x:c>
      <x:c r="B37" s="35" t="str">
        <x:v>meld</x:v>
      </x:c>
      <x:c r="C37" s="35" t="str">
        <x:v>Combine two equal-authority Contexts in the current empty Context; --from is normalized to INCOMING --into authoritative BASELINE.</x:v>
      </x:c>
      <x:c r="D37" s="35" t="str">
        <x:v>Context &lt;-&gt; Context or Incoming -&gt; Baseline</x:v>
      </x:c>
      <x:c r="E37" s="35" t="str">
        <x:v>SEMANTIC</x:v>
      </x:c>
      <x:c r="F37" s="35" t="str">
        <x:v>Creates or changes material only after reviewed Apply</x:v>
      </x:c>
      <x:c r="G37" s="35" t="str">
        <x:v>Each side exact or readable descendants</x:v>
      </x:c>
      <x:c r="H37" s="35" t="str">
        <x:v>mem meld (enter the interactive Meld session launcher)
mem meld --sessions (enter the interactive Meld session launcher)
mem meld [context1] [context2] (symmetric into current empty Context)
mem meld [context1] [context2] --to [result_context] (symmetric new Result)
mem meld [context1] [context2] -r --to [result_context] (both subtrees)
mem meld [context1] [context2] --left-descendants --right-descendants --to [result_context] (symmetric readable subtrees)
mem meld [incoming_context] --into [baseline_context] (directional)
mem meld [incoming_context] --left-descendants --into [baseline_context] --right-descendants (directional selected subtrees with owner-aware baseline writes)
mem meld --into [baseline_context] (current Context is incoming)
mem meld --from [incoming_context] (current Context is baseline)</x:v>
      </x:c>
      <x:c r="I37" s="35" t="str">
        <x:v>memcommit/help_catalog/catalog.py</x:v>
      </x:c>
      <x:c r="J37" s="35" t="str">
        <x:v>memcommit/commands/help_inventory.py</x:v>
      </x:c>
    </x:row>
    <x:row r="38" ht="58" customHeight="1">
      <x:c r="A38" s="35" t="str">
        <x:v>ANALYZE &amp; TRANSFORM</x:v>
      </x:c>
      <x:c r="B38" s="35" t="str">
        <x:v>update</x:v>
      </x:c>
      <x:c r="C38" s="35" t="str">
        <x:v>Review a directional plan and apply it to a local target; no shared publication.</x:v>
      </x:c>
      <x:c r="D38" s="35" t="str">
        <x:v>Source Context -&gt; Target Context</x:v>
      </x:c>
      <x:c r="E38" s="35" t="str">
        <x:v>SEMANTIC</x:v>
      </x:c>
      <x:c r="F38" s="35" t="str">
        <x:v>Changes local Target only after reviewed Apply</x:v>
      </x:c>
      <x:c r="G38" s="35" t="str">
        <x:v>Each endpoint exact or readable descendants</x:v>
      </x:c>
      <x:c r="H38" s="35" t="str">
        <x:v>mem update (enter the interactive Update session launcher)
mem update --from [source_context] --to [target_context] (explicit direction)
mem update -r --from [source_context] --to [target_context] (both subtrees)
mem update --from [source_context] --source-descendants --to [target_context] --target-descendants (include both readable subtrees)
mem update --from [source_context] (current Context is target)
mem update --to [target_context] (current Context is source)</x:v>
      </x:c>
      <x:c r="I38" s="35" t="str">
        <x:v>memcommit/help_catalog/catalog.py</x:v>
      </x:c>
      <x:c r="J38" s="35" t="str">
        <x:v>memcommit/commands/help_inventory.py</x:v>
      </x:c>
    </x:row>
    <x:row r="39" ht="58" customHeight="1">
      <x:c r="A39" s="35" t="str">
        <x:v>ANALYZE &amp; TRANSFORM</x:v>
      </x:c>
      <x:c r="B39" s="35" t="str">
        <x:v>sever</x:v>
      </x:c>
      <x:c r="C39" s="35" t="str">
        <x:v>Review Source against Criteria and create a derived Result while leaving Source unchanged.</x:v>
      </x:c>
      <x:c r="D39" s="35" t="str">
        <x:v>Source Context + Criteria Context -&gt; new Result Context</x:v>
      </x:c>
      <x:c r="E39" s="35" t="str">
        <x:v>SEMANTIC</x:v>
      </x:c>
      <x:c r="F39" s="35" t="str">
        <x:v>Creates reviewed Result; Source remains unchanged</x:v>
      </x:c>
      <x:c r="G39" s="35" t="str">
        <x:v>Source exact or descendants; Criteria exact scoped frame</x:v>
      </x:c>
      <x:c r="H39" s="35" t="str">
        <x:v>mem sever (enter the interactive Sever session launcher)
mem sever --sessions (enter the interactive Sever session launcher)
mem sever --source [source_context] --criteria [criteria_context] --save-as [result_context]
mem sever -r --source [source_context] --criteria [criteria_context] --save-as [result_context]
mem sever --criteria [criteria_context] --save-as [result_context] (current Context is source)
mem sever --resume [uid] (open an exact saved Sever session)</x:v>
      </x:c>
      <x:c r="I39" s="35" t="str">
        <x:v>memcommit/help_catalog/catalog.py</x:v>
      </x:c>
      <x:c r="J39" s="35" t="str">
        <x:v>memcommit/commands/help_inventory.py</x:v>
      </x:c>
    </x:row>
    <x:row r="40" ht="58" customHeight="1">
      <x:c r="A40" s="35" t="str">
        <x:v>ANALYZE &amp; TRANSFORM</x:v>
      </x:c>
      <x:c r="B40" s="35" t="str">
        <x:v>translate</x:v>
      </x:c>
      <x:c r="C40" s="35" t="str">
        <x:v>Show and save a reusable translation view; materialize it only through an explicit route.</x:v>
      </x:c>
      <x:c r="D40" s="35" t="str">
        <x:v>Context or Memory -&gt; translated view or materialization</x:v>
      </x:c>
      <x:c r="E40" s="35" t="str">
        <x:v>SEMANTIC</x:v>
      </x:c>
      <x:c r="F40" s="35" t="str">
        <x:v>Source unchanged; explicit routes may create or add material</x:v>
      </x:c>
      <x:c r="G40" s="35" t="str">
        <x:v>One exact Context or one direct Memory</x:v>
      </x:c>
      <x:c r="H40" s="35" t="str">
        <x:v>mem translate (show/save a default-English view of the current Context)
mem translate [memory] (show/save one default-English Memory view)
mem translate --to [language] (show/save a current-Context view)
mem translate [memory] --to [language] (show/save one Memory view)
mem translate --save-as [result_context] (default-English new Context and switch)
mem translate [memory] --save-as [result_context] (new Context replacing one Memory; switch)
mem translate --to [language] --save-as [result_context] (new translated Context and switch)
mem translate [memory] --to [language] --save-as [result_context] (new Context replacing one Memory; switch)
mem translate --in-place (add default-English sibling Memories)
mem translate [memory] --in-place (add one default-English sibling Memory)
mem translate --to [language] --in-place (add translated sibling Memories)
mem translate [memory] --to [language] --in-place (add one translated sibling Memory)</x:v>
      </x:c>
      <x:c r="I40" s="35" t="str">
        <x:v>memcommit/help_catalog/catalog.py</x:v>
      </x:c>
      <x:c r="J40" s="35" t="str">
        <x:v>memcommit/commands/help_inventory.py</x:v>
      </x:c>
    </x:row>
    <x:row r="41" ht="58" customHeight="1">
      <x:c r="A41" s="35" t="str">
        <x:v>ANALYZE &amp; TRANSFORM</x:v>
      </x:c>
      <x:c r="B41" s="35" t="str">
        <x:v>merge</x:v>
      </x:c>
      <x:c r="C41" s="35" t="str">
        <x:v>Add UID-new items from an exact Source or path-aligned descendants; no semantic reconciliation.</x:v>
      </x:c>
      <x:c r="D41" s="35" t="str">
        <x:v>Source Context -&gt; current Target Context</x:v>
      </x:c>
      <x:c r="E41" s="35" t="str">
        <x:v>DETERMINISTIC</x:v>
      </x:c>
      <x:c r="F41" s="35" t="str">
        <x:v>Changes the Target Context tree directly; Source stays unchanged</x:v>
      </x:c>
      <x:c r="G41" s="35" t="str">
        <x:v>Exact roots or matching lexical descendants by complete relative path</x:v>
      </x:c>
      <x:c r="H41" s="35" t="str">
        <x:v>mem merge (choose a readable Source and direct or descendant reach in a TTY)
mem merge [source_context] --direct (exact Source root into current Context; default)
mem merge [source_context] --recursive (path-aligned descendants into current Context)</x:v>
      </x:c>
      <x:c r="I41" s="35" t="str">
        <x:v>memcommit/help_catalog/catalog.py</x:v>
      </x:c>
      <x:c r="J41" s="35" t="str">
        <x:v>memcommit/commands/help_inventory.py</x:v>
      </x:c>
    </x:row>
    <x:row r="42" ht="58" customHeight="1">
      <x:c r="A42" s="35" t="str">
        <x:v>HISTORY &amp; RECOVERY</x:v>
      </x:c>
      <x:c r="B42" s="35" t="str">
        <x:v>log</x:v>
      </x:c>
      <x:c r="C42" s="35" t="str">
        <x:v>Browse Context checkpoints, inspect one Memory lineage with --memory, search history, or list Profile command attempts.</x:v>
      </x:c>
      <x:c r="D42" s="35" t="str">
        <x:v>Recorded history or query -&gt; history report</x:v>
      </x:c>
      <x:c r="E42" s="35" t="str">
        <x:v>MIXED</x:v>
      </x:c>
      <x:c r="F42" s="35" t="str">
        <x:v>Read-only</x:v>
      </x:c>
      <x:c r="G42" s="35" t="str">
        <x:v>One Context, one Memory lineage, or Profile attempts</x:v>
      </x:c>
      <x:c r="H42" s="35" t="str">
        <x:v>mem log (select a Context, then browse its checkpoints in a TTY; print otherwise)
mem log "[query]" (semantic history search)
mem log --memory [memory] (Memory-lineage view; canonical Trace route)
mem log --memory [memory] --context [context] (explicit Context and Memory)
mem log --operations (Profile command attempts)
mem log --actions (current Study Profile action events)</x:v>
      </x:c>
      <x:c r="I42" s="35" t="str">
        <x:v>memcommit/help_catalog/catalog.py</x:v>
      </x:c>
      <x:c r="J42" s="35" t="str">
        <x:v>memcommit/commands/help_inventory.py</x:v>
      </x:c>
    </x:row>
    <x:row r="43" ht="58" customHeight="1">
      <x:c r="A43" s="35" t="str">
        <x:v>HISTORY &amp; RECOVERY</x:v>
      </x:c>
      <x:c r="B43" s="35" t="str">
        <x:v>diff</x:v>
      </x:c>
      <x:c r="C43" s="35" t="str">
        <x:v>Inspect recorded Context or Update changes without applying them.</x:v>
      </x:c>
      <x:c r="D43" s="35" t="str">
        <x:v>Recorded change -&gt; diff report</x:v>
      </x:c>
      <x:c r="E43" s="35" t="str">
        <x:v>DETERMINISTIC</x:v>
      </x:c>
      <x:c r="F43" s="35" t="str">
        <x:v>Read-only</x:v>
      </x:c>
      <x:c r="G43" s="35" t="str">
        <x:v>One exact Context or active Update</x:v>
      </x:c>
      <x:c r="H43" s="35" t="str">
        <x:v>mem diff (select a Context, then inspect its checkpoints)
mem diff [context] (inspect that Context's checkpoints directly)
mem diff --raw (exact unified diff)
mem diff --stat (summary only)
mem diff --verbose (complete UIDs and source/target fingerprints)</x:v>
      </x:c>
      <x:c r="I43" s="35" t="str">
        <x:v>memcommit/help_catalog/catalog.py</x:v>
      </x:c>
      <x:c r="J43" s="35" t="str">
        <x:v>memcommit/commands/help_inventory.py</x:v>
      </x:c>
    </x:row>
    <x:row r="44" ht="58" customHeight="1">
      <x:c r="A44" s="35" t="str">
        <x:v>HISTORY &amp; RECOVERY</x:v>
      </x:c>
      <x:c r="B44" s="35" t="str">
        <x:v>checkpoint</x:v>
      </x:c>
      <x:c r="C44" s="35" t="str">
        <x:v>Save the current Context as a manual recovery point for Diff or Revert.</x:v>
      </x:c>
      <x:c r="D44" s="35" t="str">
        <x:v>Context state -&gt; checkpoint</x:v>
      </x:c>
      <x:c r="E44" s="35" t="str">
        <x:v>DETERMINISTIC</x:v>
      </x:c>
      <x:c r="F44" s="35" t="str">
        <x:v>Adds recoverable history; content is unchanged</x:v>
      </x:c>
      <x:c r="G44" s="35" t="str"/>
      <x:c r="H44" s="35" t="str">
        <x:v>mem checkpoint (save without a message)
mem checkpoint "[message]" (describe the saved checkpoint)</x:v>
      </x:c>
      <x:c r="I44" s="35" t="str">
        <x:v>memcommit/help_catalog/catalog.py</x:v>
      </x:c>
      <x:c r="J44" s="35" t="str">
        <x:v>memcommit/commands/help_inventory.py</x:v>
      </x:c>
    </x:row>
    <x:row r="45" ht="58" customHeight="1">
      <x:c r="A45" s="35" t="str">
        <x:v>HISTORY &amp; RECOVERY</x:v>
      </x:c>
      <x:c r="B45" s="35" t="str">
        <x:v>undo</x:v>
      </x:c>
      <x:c r="C45" s="35" t="str">
        <x:v>Undo the most recent recorded Context command across its affected Contexts.</x:v>
      </x:c>
      <x:c r="D45" s="35" t="str">
        <x:v>Command history -&gt; reversed Context effects</x:v>
      </x:c>
      <x:c r="E45" s="35" t="str">
        <x:v>DETERMINISTIC</x:v>
      </x:c>
      <x:c r="F45" s="35" t="str">
        <x:v>Changes every Context affected by that command</x:v>
      </x:c>
      <x:c r="G45" s="35" t="str"/>
      <x:c r="H45" s="35" t="str">
        <x:v>mem undo (undo the latest recorded Context command)</x:v>
      </x:c>
      <x:c r="I45" s="35" t="str">
        <x:v>memcommit/help_catalog/catalog.py</x:v>
      </x:c>
      <x:c r="J45" s="35" t="str">
        <x:v>memcommit/commands/help_inventory.py</x:v>
      </x:c>
    </x:row>
    <x:row r="46" ht="58" customHeight="1">
      <x:c r="A46" s="35" t="str">
        <x:v>HISTORY &amp; RECOVERY</x:v>
      </x:c>
      <x:c r="B46" s="35" t="str">
        <x:v>redo</x:v>
      </x:c>
      <x:c r="C46" s="35" t="str">
        <x:v>Redo the most recently undone recorded Context command.</x:v>
      </x:c>
      <x:c r="D46" s="35" t="str">
        <x:v>Undo history -&gt; restored command effects</x:v>
      </x:c>
      <x:c r="E46" s="35" t="str">
        <x:v>DETERMINISTIC</x:v>
      </x:c>
      <x:c r="F46" s="35" t="str">
        <x:v>Changes the affected Context set</x:v>
      </x:c>
      <x:c r="G46" s="35" t="str"/>
      <x:c r="H46" s="35" t="str">
        <x:v>mem redo (redo the most recently undone Context command)</x:v>
      </x:c>
      <x:c r="I46" s="35" t="str">
        <x:v>memcommit/help_catalog/catalog.py</x:v>
      </x:c>
      <x:c r="J46" s="35" t="str">
        <x:v>memcommit/commands/help_inventory.py</x:v>
      </x:c>
    </x:row>
    <x:row r="47" ht="58" customHeight="1">
      <x:c r="A47" s="35" t="str">
        <x:v>HISTORY &amp; RECOVERY</x:v>
      </x:c>
      <x:c r="B47" s="35" t="str">
        <x:v>revert</x:v>
      </x:c>
      <x:c r="C47" s="35" t="str">
        <x:v>Select a checkpoint and review restoration of one local Context.</x:v>
      </x:c>
      <x:c r="D47" s="35" t="str">
        <x:v>Checkpoint -&gt; restored Context state</x:v>
      </x:c>
      <x:c r="E47" s="35" t="str">
        <x:v>MIXED</x:v>
      </x:c>
      <x:c r="F47" s="35" t="str">
        <x:v>Changes one Context after restoration review</x:v>
      </x:c>
      <x:c r="G47" s="35" t="str">
        <x:v>One exact local Context</x:v>
      </x:c>
      <x:c r="H47" s="35" t="str">
        <x:v>mem revert (choose a local Context, checkpoint, and history policy interactively)
mem revert --context [context] (open one Context's checkpoint and history-policy review)
mem revert [checkpoint] (restore exact and discard newer checkpoints)
mem revert [checkpoint] --context [context] (restore an exact checkpoint in one Context)
mem revert [checkpoint] --keep (restore exact and preserve newer checkpoints)
mem revert "[description]" (semantic lookup; discard newer when applied)</x:v>
      </x:c>
      <x:c r="I47" s="35" t="str">
        <x:v>memcommit/help_catalog/catalog.py</x:v>
      </x:c>
      <x:c r="J47" s="35" t="str">
        <x:v>memcommit/commands/help_inventory.py</x:v>
      </x:c>
    </x:row>
    <x:row r="48" ht="58" customHeight="1">
      <x:c r="A48" s="35" t="str">
        <x:v>GROUND &amp; EVALUATION</x:v>
      </x:c>
      <x:c r="B48" s="35" t="str">
        <x:v>ground</x:v>
      </x:c>
      <x:c r="C48" s="35" t="str">
        <x:v>Create or continue a reviewed Goal-Rules-Memories Ground workbench.</x:v>
      </x:c>
      <x:c r="D48" s="35" t="str">
        <x:v>Dialogue + evidence -&gt; reviewed Ground</x:v>
      </x:c>
      <x:c r="E48" s="35" t="str">
        <x:v>SEMANTIC</x:v>
      </x:c>
      <x:c r="F48" s="35" t="str">
        <x:v>Changes Ground records; Context changes require separate commands</x:v>
      </x:c>
      <x:c r="G48" s="35" t="str"/>
      <x:c r="H48" s="35" t="str">
        <x:v>mem ground (enter the interactive Ground session)
mem ground [ground_name] (enter an interactive named Ground session)
mem ground "[request]" (enter an interactive Ground session with an initial request)
mem ground --request "[request]" (enter an interactive Ground session with an initial request)
mem ground --sessions (enter the interactive Ground session launcher; TTY required)</x:v>
      </x:c>
      <x:c r="I48" s="35" t="str">
        <x:v>memcommit/help_catalog/catalog.py</x:v>
      </x:c>
      <x:c r="J48" s="35" t="str">
        <x:v>memcommit/commands/help_inventory.py</x:v>
      </x:c>
    </x:row>
    <x:row r="49" ht="58" customHeight="1">
      <x:c r="A49" s="35" t="str">
        <x:v>GROUND &amp; EVALUATION</x:v>
      </x:c>
      <x:c r="B49" s="35" t="str">
        <x:v>init-study</x:v>
      </x:c>
      <x:c r="C49" s="35" t="str">
        <x:v>Copy one Study baseline into an isolated participant/authority Profile pair.</x:v>
      </x:c>
      <x:c r="D49" s="35" t="str">
        <x:v>Study baseline -&gt; isolated Study Profiles</x:v>
      </x:c>
      <x:c r="E49" s="35" t="str">
        <x:v>DETERMINISTIC</x:v>
      </x:c>
      <x:c r="F49" s="35" t="str">
        <x:v>Creates isolated Profile stores and switches Profile</x:v>
      </x:c>
      <x:c r="G49" s="35" t="str"/>
      <x:c r="H49" s="35" t="str">
        <x:v>mem init-study (edit or generate a Study Profile name)
mem init-study [profile_name] (use an explicit Study Profile name)
mem init-study --from-profile [baseline_profile] (generated run name)
mem init-study [profile_name] --from-profile [baseline_profile] (explicit baseline)</x:v>
      </x:c>
      <x:c r="I49" s="35" t="str">
        <x:v>memcommit/help_catalog/catalog.py</x:v>
      </x:c>
      <x:c r="J49" s="35" t="str">
        <x:v>memcommit/commands/help_inventory.py</x:v>
      </x:c>
    </x:row>
    <x:row r="50" ht="58" customHeight="1">
      <x:c r="A50" s="35" t="str">
        <x:v>GROUND &amp; EVALUATION</x:v>
      </x:c>
      <x:c r="B50" s="35" t="str">
        <x:v>eval</x:v>
      </x:c>
      <x:c r="C50" s="35" t="str">
        <x:v>Run and inspect staged semantic evaluation campaigns.</x:v>
      </x:c>
      <x:c r="D50" s="35" t="str">
        <x:v>Evaluation fixtures -&gt; campaign results</x:v>
      </x:c>
      <x:c r="E50" s="35" t="str">
        <x:v>MIXED</x:v>
      </x:c>
      <x:c r="F50" s="35" t="str">
        <x:v>Changes evaluation ledgers, not Context content</x:v>
      </x:c>
      <x:c r="G50" s="35" t="str"/>
      <x:c r="H50" s="35" t="str">
        <x:v>mem eval semantic status (show retained semantic campaign status)
mem eval semantic run [campaign] (run a semantic evaluation campaign)</x:v>
      </x:c>
      <x:c r="I50" s="35" t="str">
        <x:v>memcommit/help_catalog/catalog.py</x:v>
      </x:c>
      <x:c r="J50" s="35" t="str">
        <x:v>memcommit/commands/help_inventory.py</x:v>
      </x:c>
    </x:row>
    <x:row r="51" ht="58" customHeight="1">
      <x:c r="A51" s="35" t="str">
        <x:v>PROFILE &amp; SHARING</x:v>
      </x:c>
      <x:c r="B51" s="35" t="str">
        <x:v>profile</x:v>
      </x:c>
      <x:c r="C51" s="35" t="str">
        <x:v>Enter the interactive Profile selector, or manage complete local MemoryStore Profiles.</x:v>
      </x:c>
      <x:c r="D51" s="35" t="str">
        <x:v>Profile registry &lt;-&gt; Profile administration</x:v>
      </x:c>
      <x:c r="E51" s="35" t="str">
        <x:v>DETERMINISTIC</x:v>
      </x:c>
      <x:c r="F51" s="35" t="str">
        <x:v>May switch, create, import, rename, or remove Profiles</x:v>
      </x:c>
      <x:c r="G51" s="35" t="str"/>
      <x:c r="H51" s="35" t="str">
        <x:v>mem profile (enter the interactive Profile selector in a TTY; list otherwise)
mem profile [profile_name] (select through the concise alias)
mem profile use [profile_name] (select explicitly)
mem profile list (list registered Profiles)
mem profile current (show the active Profile)
mem profile rename [new_name] (rename the active Profile)
mem profile rename [profile_name] [new_name] (rename an explicit Profile)
mem profile remove [profile_name] (permanently delete one Profile store)
mem profile remove-study [study_name] (permanently delete Study stores)
mem profile import [profile_name] --from [store] (copy a complete store)
mem profile import-study (bootstrap the editable Study baseline)
mem profile refresh-study (refresh the editable Study baseline)
mem profile archive-study [study_name] (detach a legacy split Study)
mem profile grant list (list cross-Profile views)
mem profile grant create [authority_profile] [grantee_profile] [source_context] --into [attachment_context] --allow [permission]
mem profile grant create [authority_profile] [grantee_profile] [source_context] --into [attachment_context] --allow [permission] --recursive (freeze descendants)
mem profile grant update [grant] --allow [permission]
mem profile grant update [grant] --allow [permission] --refresh-scope (refreeze descendants)
mem profile grant update [grant] --allow [permission] --root-only (freeze only the root)
mem profile grant delete [grant] (revoke a view)</x:v>
      </x:c>
      <x:c r="I51" s="35" t="str">
        <x:v>memcommit/help_catalog/catalog.py</x:v>
      </x:c>
      <x:c r="J51" s="35" t="str">
        <x:v>memcommit/commands/help_inventory.py</x:v>
      </x:c>
    </x:row>
    <x:row r="52" ht="58" customHeight="1">
      <x:c r="A52" s="35" t="str">
        <x:v>PROFILE &amp; SHARING</x:v>
      </x:c>
      <x:c r="B52" s="35" t="str">
        <x:v>rename</x:v>
      </x:c>
      <x:c r="C52" s="35" t="str">
        <x:v>Rename the current or an explicit managed Profile without moving or rewriting its store; mem profile rename is the explicit equivalent.</x:v>
      </x:c>
      <x:c r="D52" s="35" t="str">
        <x:v>Managed Profile name -&gt; new Profile name</x:v>
      </x:c>
      <x:c r="E52" s="35" t="str">
        <x:v>DETERMINISTIC</x:v>
      </x:c>
      <x:c r="F52" s="35" t="str">
        <x:v>Changes registry metadata; store contents stay in place</x:v>
      </x:c>
      <x:c r="G52" s="35" t="str"/>
      <x:c r="H52" s="35" t="str">
        <x:v>mem rename [new_name] (rename the active Profile)
mem rename [profile_name] [new_name] (rename an explicit Profile)</x:v>
      </x:c>
      <x:c r="I52" s="35" t="str">
        <x:v>memcommit/help_catalog/catalog.py</x:v>
      </x:c>
      <x:c r="J52" s="35" t="str">
        <x:v>memcommit/commands/help_inventory.py</x:v>
      </x:c>
    </x:row>
    <x:row r="53" ht="58" customHeight="1">
      <x:c r="A53" s="35" t="str">
        <x:v>PROFILE &amp; SHARING</x:v>
      </x:c>
      <x:c r="B53" s="35" t="str">
        <x:v>share</x:v>
      </x:c>
      <x:c r="C53" s="35" t="str">
        <x:v>Send one ordinary Context through a grant-backed receiver endpoint.</x:v>
      </x:c>
      <x:c r="D53" s="35" t="str">
        <x:v>Owned Context -&gt; receiver endpoint</x:v>
      </x:c>
      <x:c r="E53" s="35" t="str">
        <x:v>DETERMINISTIC</x:v>
      </x:c>
      <x:c r="F53" s="35" t="str">
        <x:v>External delivery; Source remains unchanged</x:v>
      </x:c>
      <x:c r="G53" s="35" t="str">
        <x:v>One exact ordinary Source Context</x:v>
      </x:c>
      <x:c r="H53" s="35" t="str">
        <x:v>mem share (enter the interactive Share setup)
mem share [source_context] (enter the interactive endpoint selector)
mem share --to [endpoint] (enter the interactive Source selector)
mem share [source_context] --to [endpoint] (explicit delivery)</x:v>
      </x:c>
      <x:c r="I53" s="35" t="str">
        <x:v>memcommit/help_catalog/catalog.py</x:v>
      </x:c>
      <x:c r="J53" s="35" t="str">
        <x:v>memcommit/commands/help_inventory.py</x:v>
      </x:c>
    </x:row>
    <x:row r="54" ht="58" customHeight="1">
      <x:c r="A54" s="35" t="str">
        <x:v>PROFILE &amp; SHARING</x:v>
      </x:c>
      <x:c r="B54" s="35" t="str">
        <x:v>lock</x:v>
      </x:c>
      <x:c r="C54" s="35" t="str">
        <x:v>Lock the current Context, a recursive Context set, Memory, or Profile.</x:v>
      </x:c>
      <x:c r="D54" s="35" t="str">
        <x:v>Resource -&gt; write-protected resource</x:v>
      </x:c>
      <x:c r="E54" s="35" t="str">
        <x:v>DETERMINISTIC</x:v>
      </x:c>
      <x:c r="F54" s="35" t="str">
        <x:v>Changes protection metadata</x:v>
      </x:c>
      <x:c r="G54" s="35" t="str">
        <x:v>Exact resource or recursive Context set</x:v>
      </x:c>
      <x:c r="H54" s="35" t="str">
        <x:v>mem lock (lock the current Context)
mem lock -r (lock the current Context namespace)
mem lock context [context] (lock an explicit Context)
mem lock context [context] --recursive (lock an explicit Context namespace)
mem lock memory [memory] (lock a direct Memory in the current Context)
mem lock memory [memory] --context [context] (lock a direct Memory)
mem lock profile (lock the active Profile)</x:v>
      </x:c>
      <x:c r="I54" s="35" t="str">
        <x:v>memcommit/help_catalog/catalog.py</x:v>
      </x:c>
      <x:c r="J54" s="35" t="str">
        <x:v>memcommit/commands/help_inventory.py</x:v>
      </x:c>
    </x:row>
    <x:row r="55" ht="58" customHeight="1">
      <x:c r="A55" s="35" t="str">
        <x:v>PROFILE &amp; SHARING</x:v>
      </x:c>
      <x:c r="B55" s="35" t="str">
        <x:v>unlock</x:v>
      </x:c>
      <x:c r="C55" s="35" t="str">
        <x:v>Unlock the current Context, a recursive set, Memory, or Profile.</x:v>
      </x:c>
      <x:c r="D55" s="35" t="str">
        <x:v>Protected resource -&gt; writable resource</x:v>
      </x:c>
      <x:c r="E55" s="35" t="str">
        <x:v>DETERMINISTIC</x:v>
      </x:c>
      <x:c r="F55" s="35" t="str">
        <x:v>Changes protection metadata</x:v>
      </x:c>
      <x:c r="G55" s="35" t="str">
        <x:v>Exact resource or recursive Context set</x:v>
      </x:c>
      <x:c r="H55" s="35" t="str">
        <x:v>mem unlock (unlock the current Context)
mem unlock -r (unlock the current Context namespace)
mem unlock context [context] (unlock an explicit Context)
mem unlock context [context] --recursive (unlock an explicit Context namespace)
mem unlock memory [memory] (unlock a direct Memory in the current Context)
mem unlock memory [memory] --context [context] (unlock a direct Memory)
mem unlock profile (unlock the active Profile)</x:v>
      </x:c>
      <x:c r="I55" s="35" t="str">
        <x:v>memcommit/help_catalog/catalog.py</x:v>
      </x:c>
      <x:c r="J55" s="35" t="str">
        <x:v>memcommit/commands/help_inventory.py</x:v>
      </x:c>
    </x:row>
    <x:row r="56" ht="58" customHeight="1">
      <x:c r="A56" s="35" t="str">
        <x:v>SYSTEM</x:v>
      </x:c>
      <x:c r="B56" s="35" t="str">
        <x:v>help</x:v>
      </x:c>
      <x:c r="C56" s="35" t="str">
        <x:v>Enter the interactive command browser and open syntax help.</x:v>
      </x:c>
      <x:c r="D56" s="35" t="str">
        <x:v>Operation catalog -&gt; usage guidance</x:v>
      </x:c>
      <x:c r="E56" s="35" t="str">
        <x:v>DETERMINISTIC</x:v>
      </x:c>
      <x:c r="F56" s="35" t="str">
        <x:v>Read-only</x:v>
      </x:c>
      <x:c r="G56" s="35" t="str"/>
      <x:c r="H56" s="35" t="str">
        <x:v>mem help (enter the interactive command browser)</x:v>
      </x:c>
      <x:c r="I56" s="35" t="str">
        <x:v>memcommit/help_catalog/catalog.py</x:v>
      </x:c>
      <x:c r="J56" s="35" t="str">
        <x:v>memcommit/commands/help_inventory.py</x:v>
      </x:c>
    </x:row>
    <x:row r="57" ht="58" customHeight="1">
      <x:c r="A57" s="35" t="str">
        <x:v>SYSTEM</x:v>
      </x:c>
      <x:c r="B57" s="35" t="str">
        <x:v>provider</x:v>
      </x:c>
      <x:c r="C57" s="35" t="str">
        <x:v>Select and verify Codex, Ollama, or OpenRouter semantic execution.</x:v>
      </x:c>
      <x:c r="D57" s="35" t="str">
        <x:v>Provider configuration &lt;-&gt; status or probe</x:v>
      </x:c>
      <x:c r="E57" s="35" t="str">
        <x:v>DETERMINISTIC</x:v>
      </x:c>
      <x:c r="F57" s="35" t="str">
        <x:v>May change provider configuration or make a probe request</x:v>
      </x:c>
      <x:c r="G57" s="35" t="str"/>
      <x:c r="H57" s="35" t="str">
        <x:v>mem provider status (inspect the selection without connecting)
mem provider use codex_chatgpt (select managed Codex defaults)
mem provider use ollama --model [model] (select a local model)
mem provider use openrouter --model [model] (select a routed model)
mem provider probe (test the current selection)</x:v>
      </x:c>
      <x:c r="I57" s="35" t="str">
        <x:v>memcommit/help_catalog/catalog.py</x:v>
      </x:c>
      <x:c r="J57" s="35" t="str">
        <x:v>memcommit/commands/help_inventory.py</x:v>
      </x:c>
    </x:row>
    <x:row r="58" ht="58" customHeight="1">
      <x:c r="A58" s="35" t="str">
        <x:v>SYSTEM</x:v>
      </x:c>
      <x:c r="B58" s="35" t="str">
        <x:v>shell-init</x:v>
      </x:c>
      <x:c r="C58" s="35" t="str">
        <x:v>Print opt-in shell integration for interactive command prefill.</x:v>
      </x:c>
      <x:c r="D58" s="35" t="str">
        <x:v>Shell name -&gt; integration script</x:v>
      </x:c>
      <x:c r="E58" s="35" t="str">
        <x:v>DETERMINISTIC</x:v>
      </x:c>
      <x:c r="F58" s="35" t="str">
        <x:v>Read-only; installation requires explicit shell evaluation</x:v>
      </x:c>
      <x:c r="G58" s="35" t="str"/>
      <x:c r="H58" s="35" t="str">
        <x:v>mem shell-init (print zsh integration)
mem shell-init zsh (explicit equivalent)</x:v>
      </x:c>
      <x:c r="I58" s="35" t="str">
        <x:v>memcommit/help_catalog/catalog.py</x:v>
      </x:c>
      <x:c r="J58" s="35" t="str">
        <x:v>memcommit/commands/help_inventory.py</x:v>
      </x:c>
    </x:row>
    <x:row r="59" ht="58" customHeight="1">
      <x:c r="A59" s="35" t="str">
        <x:v>SYSTEM</x:v>
      </x:c>
      <x:c r="B59" s="35" t="str">
        <x:v>config</x:v>
      </x:c>
      <x:c r="C59" s="35" t="str">
        <x:v>Read and write global configuration.</x:v>
      </x:c>
      <x:c r="D59" s="35" t="str">
        <x:v>Configuration key &lt;-&gt; value</x:v>
      </x:c>
      <x:c r="E59" s="35" t="str">
        <x:v>DETERMINISTIC</x:v>
      </x:c>
      <x:c r="F59" s="35" t="str">
        <x:v>May change global configuration</x:v>
      </x:c>
      <x:c r="G59" s="35" t="str"/>
      <x:c r="H59" s="35" t="str">
        <x:v>mem config show (show global configuration)
mem config set [key] "[value]" (set one global value)</x:v>
      </x:c>
      <x:c r="I59" s="35" t="str">
        <x:v>memcommit/help_catalog/catalog.py</x:v>
      </x:c>
      <x:c r="J59" s="35" t="str">
        <x:v>memcommit/commands/help_inventory.py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32f9036b24c5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36" hidden="0" customWidth="1"/>
    <x:col min="4" max="4" width="72" hidden="0" customWidth="1"/>
    <x:col min="5" max="5" width="55" hidden="0" customWidth="1"/>
    <x:col min="6" max="6" width="3" hidden="0" customWidth="1"/>
  </x:cols>
  <x:sheetData>
    <x:row r="1" ht="32" customHeight="1">
      <x:c r="A1" s="3" t="str">
        <x:v>Mem Help · Review Legend</x:v>
      </x:c>
      <x:c r="B1" s="3"/>
      <x:c r="C1" s="3"/>
      <x:c r="D1" s="3"/>
      <x:c r="E1" s="3"/>
      <x:c r="F1" s="3"/>
    </x:row>
    <x:row r="2" ht="34" customHeight="1">
      <x:c r="A2" s="7" t="str">
        <x:v>The workbook is a review surface generated from code. Final wording is implemented in the Help catalog and then regenerated here for verification.</x:v>
      </x:c>
      <x:c r="B2" s="7"/>
      <x:c r="C2" s="7"/>
      <x:c r="D2" s="7"/>
      <x:c r="E2" s="7"/>
      <x:c r="F2" s="7"/>
    </x:row>
    <x:row r="3" ht="24" customHeight="1">
      <x:c r="A3" s="11" t="str">
        <x:v>Generated from current Help catalog · git a1e0ad15 · Help files have uncommitted changes · 55 operations · 2026-08-15 11:15:04 UTC</x:v>
      </x:c>
      <x:c r="B3" s="11"/>
      <x:c r="C3" s="11"/>
      <x:c r="D3" s="11"/>
      <x:c r="E3" s="11"/>
      <x:c r="F3" s="11"/>
    </x:row>
    <x:row r="4">
      <x:c r="A4" s="110" t="str">
        <x:v>WIDE TERMINAL · FIVE COLUMNS</x:v>
      </x:c>
      <x:c r="B4" s="110"/>
      <x:c r="C4" s="110"/>
      <x:c r="D4" s="110"/>
      <x:c r="E4" s="110"/>
      <x:c r="F4" s="110"/>
    </x:row>
    <x:row r="5">
      <x:c r="A5" s="111" t="str">
        <x:v>NAME</x:v>
      </x:c>
      <x:c r="B5" s="112" t="str">
        <x:v>LLM</x:v>
      </x:c>
      <x:c r="C5" s="113" t="str">
        <x:v>FLOW(S)</x:v>
      </x:c>
      <x:c r="D5" s="114" t="str">
        <x:v>COMPACT EXPLANATION + BOUNDARY</x:v>
      </x:c>
      <x:c r="E5" s="115" t="str">
        <x:v>BEST FOR</x:v>
      </x:c>
    </x:row>
    <x:row r="6" ht="54" customHeight="1">
      <x:c r="A6" s="75" t="str">
        <x:v>merge</x:v>
      </x:c>
      <x:c r="B6" s="85" t="str">
        <x:v>NO</x:v>
      </x:c>
      <x:c r="C6" s="47" t="str">
        <x:v>Source → current Target</x:v>
      </x:c>
      <x:c r="D6" s="49" t="str">
        <x:v>Add only Source identities absent from the Target; existing Target items remain unchanged.</x:v>
      </x:c>
      <x:c r="E6" s="53" t="str">
        <x:v>A concrete situation belongs here; Merge is intentionally still under review.</x:v>
      </x:c>
    </x:row>
    <x:row r="8">
      <x:c r="A8" s="110" t="str">
        <x:v>NARROW TERMINAL · SAME FIELDS STACKED AS ROWS</x:v>
      </x:c>
      <x:c r="B8" s="110"/>
      <x:c r="C8" s="110"/>
      <x:c r="D8" s="110"/>
      <x:c r="E8" s="110"/>
      <x:c r="F8" s="110"/>
    </x:row>
    <x:row r="9" ht="40" customHeight="1">
      <x:c r="A9" s="118" t="str">
        <x:v>NAME</x:v>
      </x:c>
      <x:c r="B9" s="44" t="str">
        <x:v>merge</x:v>
      </x:c>
    </x:row>
    <x:row r="10" ht="40" customHeight="1">
      <x:c r="A10" s="119" t="str">
        <x:v>LLM</x:v>
      </x:c>
      <x:c r="B10" s="45" t="str">
        <x:v>NO</x:v>
      </x:c>
    </x:row>
    <x:row r="11" ht="40" customHeight="1">
      <x:c r="A11" s="119" t="str">
        <x:v>FLOW(S)</x:v>
      </x:c>
      <x:c r="B11" s="45" t="str">
        <x:v>Source → current Target</x:v>
      </x:c>
    </x:row>
    <x:row r="12" ht="40" customHeight="1">
      <x:c r="A12" s="119" t="str">
        <x:v>EXPLANATION</x:v>
      </x:c>
      <x:c r="B12" s="45" t="str">
        <x:v>Add only Source identities absent from the Target; existing Target items remain unchanged.</x:v>
      </x:c>
    </x:row>
    <x:row r="13" ht="40" customHeight="1">
      <x:c r="A13" s="119" t="str">
        <x:v>BEST FOR</x:v>
      </x:c>
      <x:c r="B13" s="45" t="str">
        <x:v>A concrete situation belongs here; Merge is intentionally still under review.</x:v>
      </x:c>
    </x:row>
    <x:row r="15">
      <x:c r="A15" s="110" t="str">
        <x:v>FIELD CONTRACT</x:v>
      </x:c>
      <x:c r="B15" s="110"/>
      <x:c r="C15" s="110"/>
      <x:c r="D15" s="110"/>
      <x:c r="E15" s="110"/>
      <x:c r="F15" s="110"/>
    </x:row>
    <x:row r="16">
      <x:c r="A16" s="23" t="str">
        <x:v>FIELD</x:v>
      </x:c>
      <x:c r="B16" s="24" t="str">
        <x:v>MEANING</x:v>
      </x:c>
      <x:c r="C16" s="25" t="str">
        <x:v>COLOR</x:v>
      </x:c>
    </x:row>
    <x:row r="17">
      <x:c r="A17" s="120" t="str">
        <x:v>NAME</x:v>
      </x:c>
      <x:c r="B17" s="44" t="str">
        <x:v>Public operation name.</x:v>
      </x:c>
      <x:c r="C17" s="44" t="str">
        <x:v>Blue-gray</x:v>
      </x:c>
    </x:row>
    <x:row r="18">
      <x:c r="A18" s="121" t="str">
        <x:v>LLM</x:v>
      </x:c>
      <x:c r="B18" s="45" t="str">
        <x:v>NO, YES — CACHE OR PROVIDER, or DEPENDS ON FORM.</x:v>
      </x:c>
      <x:c r="C18" s="45" t="str">
        <x:v>Peach</x:v>
      </x:c>
    </x:row>
    <x:row r="19">
      <x:c r="A19" s="121" t="str">
        <x:v>FLOW(S)</x:v>
      </x:c>
      <x:c r="B19" s="45" t="str">
        <x:v>One or more semantic input-to-output relationships; not every CLI spelling.</x:v>
      </x:c>
      <x:c r="C19" s="45" t="str">
        <x:v>Blue</x:v>
      </x:c>
    </x:row>
    <x:row r="20">
      <x:c r="A20" s="121" t="str">
        <x:v>EXPLANATION</x:v>
      </x:c>
      <x:c r="B20" s="45" t="str">
        <x:v>What the operation does and why its distinction matters.</x:v>
      </x:c>
      <x:c r="C20" s="45" t="str">
        <x:v>Yellow</x:v>
      </x:c>
    </x:row>
    <x:row r="21">
      <x:c r="A21" s="121" t="str">
        <x:v>BOUNDARY</x:v>
      </x:c>
      <x:c r="B21" s="45" t="str">
        <x:v>What remains unchanged, is skipped, or is deliberately not interpreted.</x:v>
      </x:c>
      <x:c r="C21" s="45" t="str">
        <x:v>Red tint</x:v>
      </x:c>
    </x:row>
    <x:row r="22">
      <x:c r="A22" s="121" t="str">
        <x:v>BEST FOR</x:v>
      </x:c>
      <x:c r="B22" s="45" t="str">
        <x:v>A concrete situation in which this operation is the right choice.</x:v>
      </x:c>
      <x:c r="C22" s="45" t="str">
        <x:v>Green</x:v>
      </x:c>
    </x:row>
    <x:row r="24">
      <x:c r="A24" s="110" t="str">
        <x:v>REVIEW WORKFLOW</x:v>
      </x:c>
      <x:c r="B24" s="110"/>
      <x:c r="C24" s="110"/>
      <x:c r="D24" s="110"/>
      <x:c r="E24" s="110"/>
      <x:c r="F24" s="110"/>
    </x:row>
    <x:row r="25">
      <x:c r="A25" s="124" t="str">
        <x:v>1</x:v>
      </x:c>
      <x:c r="B25" s="44" t="str">
        <x:v>Read the generated current contract in Catalog Snapshot.</x:v>
      </x:c>
    </x:row>
    <x:row r="26">
      <x:c r="A26" s="125" t="str">
        <x:v>2</x:v>
      </x:c>
      <x:c r="B26" s="45" t="str">
        <x:v>Draft plural Flow(s), Explanation, Boundary, and Best For in Contract Review.</x:v>
      </x:c>
    </x:row>
    <x:row r="27">
      <x:c r="A27" s="125" t="str">
        <x:v>3</x:v>
      </x:c>
      <x:c r="B27" s="45" t="str">
        <x:v>Inspect the formula-driven five-column projection in Compact Review.</x:v>
      </x:c>
    </x:row>
    <x:row r="28">
      <x:c r="A28" s="125" t="str">
        <x:v>4</x:v>
      </x:c>
      <x:c r="B28" s="45" t="str">
        <x:v>Mark Decision only after a novice can predict the operation, mutation boundary, and LLM route.</x:v>
      </x:c>
    </x:row>
    <x:row r="29">
      <x:c r="A29" s="125" t="str">
        <x:v>5</x:v>
      </x:c>
      <x:c r="B29" s="45" t="str">
        <x:v>Implement approved wording in Python Help, regenerate, and verify both BY KIND and A–Z.</x:v>
      </x:c>
    </x:row>
  </x:sheetData>
  <x:mergeCells>
    <x:mergeCell ref="A1:F1"/>
    <x:mergeCell ref="A2:F2"/>
    <x:mergeCell ref="A3:F3"/>
    <x:mergeCell ref="A4:F4"/>
    <x:mergeCell ref="A8:F8"/>
    <x:mergeCell ref="A15:F15"/>
    <x:mergeCell ref="A24:F24"/>
  </x:mergeCells>
  <x:pageMargins left="0.7" right="0.7" top="0.75" bottom="0.75" header="0.3" footer="0.3"/>
</x:worksheet>
</file>